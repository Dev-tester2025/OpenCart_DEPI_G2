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mac/Documents/Professional/DEPI/Grad_Project/Summary Report/"/>
    </mc:Choice>
  </mc:AlternateContent>
  <xr:revisionPtr revIDLastSave="0" documentId="13_ncr:1_{B9AB6A5D-5D41-D144-8D2A-B4D7DDF42666}" xr6:coauthVersionLast="47" xr6:coauthVersionMax="47" xr10:uidLastSave="{00000000-0000-0000-0000-000000000000}"/>
  <bookViews>
    <workbookView xWindow="0" yWindow="680" windowWidth="29920" windowHeight="18660" xr2:uid="{755454F4-C48B-654C-BFDF-68CD733BBBCB}"/>
  </bookViews>
  <sheets>
    <sheet name="Report" sheetId="2" r:id="rId1"/>
    <sheet name="Summar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1" l="1"/>
  <c r="Q15" i="1"/>
  <c r="O15" i="1"/>
  <c r="O55" i="2"/>
  <c r="O27" i="2"/>
  <c r="O23" i="2"/>
  <c r="O24" i="2"/>
  <c r="O25" i="2"/>
  <c r="O26" i="2"/>
  <c r="O22" i="2"/>
  <c r="O6" i="2"/>
  <c r="O2" i="2"/>
  <c r="R4" i="2"/>
  <c r="S4" i="2" s="1"/>
  <c r="R3" i="2"/>
  <c r="S3" i="2" s="1"/>
</calcChain>
</file>

<file path=xl/sharedStrings.xml><?xml version="1.0" encoding="utf-8"?>
<sst xmlns="http://schemas.openxmlformats.org/spreadsheetml/2006/main" count="374" uniqueCount="149">
  <si>
    <t>Module Name</t>
  </si>
  <si>
    <t>Number of TCs</t>
  </si>
  <si>
    <t xml:space="preserve">Done By </t>
  </si>
  <si>
    <t>No</t>
  </si>
  <si>
    <t>Registration</t>
  </si>
  <si>
    <t>Account</t>
  </si>
  <si>
    <t>Product Page</t>
  </si>
  <si>
    <t>Category Page</t>
  </si>
  <si>
    <t>Compare Page</t>
  </si>
  <si>
    <t>Database</t>
  </si>
  <si>
    <t>Cart Management</t>
  </si>
  <si>
    <t>Checkout</t>
  </si>
  <si>
    <t>Admin Work</t>
  </si>
  <si>
    <t>Ghada</t>
  </si>
  <si>
    <t>Mohamed</t>
  </si>
  <si>
    <t>Menna</t>
  </si>
  <si>
    <t>Randa</t>
  </si>
  <si>
    <t>Hesham</t>
  </si>
  <si>
    <t>TC_ID</t>
  </si>
  <si>
    <t>Register</t>
  </si>
  <si>
    <t>Login</t>
  </si>
  <si>
    <t>Total No</t>
  </si>
  <si>
    <t>PP</t>
  </si>
  <si>
    <t>CP</t>
  </si>
  <si>
    <t>CMP</t>
  </si>
  <si>
    <t>CART</t>
  </si>
  <si>
    <t>Account_LoggedOut</t>
  </si>
  <si>
    <t>Wishlist</t>
  </si>
  <si>
    <t>Orders</t>
  </si>
  <si>
    <t>Downloads</t>
  </si>
  <si>
    <t>Subscriptions</t>
  </si>
  <si>
    <t>Returns</t>
  </si>
  <si>
    <t>Transactions</t>
  </si>
  <si>
    <t>Newsletter</t>
  </si>
  <si>
    <t>REG</t>
  </si>
  <si>
    <t>FP</t>
  </si>
  <si>
    <t>AC_LO</t>
  </si>
  <si>
    <t>EAC</t>
  </si>
  <si>
    <t>AB</t>
  </si>
  <si>
    <t>WL</t>
  </si>
  <si>
    <t>ORD</t>
  </si>
  <si>
    <t>DL</t>
  </si>
  <si>
    <t>SBS</t>
  </si>
  <si>
    <t>RP</t>
  </si>
  <si>
    <t>RET</t>
  </si>
  <si>
    <t>TS</t>
  </si>
  <si>
    <t>NL</t>
  </si>
  <si>
    <t>AAC</t>
  </si>
  <si>
    <t>LOGIN</t>
  </si>
  <si>
    <t>TC_LOGIN</t>
  </si>
  <si>
    <t>TC_LOGOUT</t>
  </si>
  <si>
    <t>Forgot Password</t>
  </si>
  <si>
    <t>Edit_Account</t>
  </si>
  <si>
    <t>Change_Password</t>
  </si>
  <si>
    <t>Address_Book</t>
  </si>
  <si>
    <t>Rewards Points</t>
  </si>
  <si>
    <t>Affiliate Account</t>
  </si>
  <si>
    <t>DB</t>
  </si>
  <si>
    <t>Cart</t>
  </si>
  <si>
    <t>Logout</t>
  </si>
  <si>
    <t>LOGOUT</t>
  </si>
  <si>
    <t>DASH</t>
  </si>
  <si>
    <t xml:space="preserve">SB </t>
  </si>
  <si>
    <t>Sidebar</t>
  </si>
  <si>
    <t>Dashboard</t>
  </si>
  <si>
    <t>TC_Order</t>
  </si>
  <si>
    <t>TC_DASH</t>
  </si>
  <si>
    <t>TC_ADD_CUST</t>
  </si>
  <si>
    <t>Add Customer</t>
  </si>
  <si>
    <t>TC_CUST</t>
  </si>
  <si>
    <t>TC_UTIL</t>
  </si>
  <si>
    <t>Extensions List</t>
  </si>
  <si>
    <t>TC_EXT</t>
  </si>
  <si>
    <t>Layout List</t>
  </si>
  <si>
    <t>TC_LAY</t>
  </si>
  <si>
    <t>Banner List</t>
  </si>
  <si>
    <t>TC_BAN</t>
  </si>
  <si>
    <t>Returns List</t>
  </si>
  <si>
    <t>TC_RET</t>
  </si>
  <si>
    <t>Gift Voucher List</t>
  </si>
  <si>
    <t>TC_VOU</t>
  </si>
  <si>
    <t>Voucher Themes List</t>
  </si>
  <si>
    <t>TC_THM</t>
  </si>
  <si>
    <t>Marketing List</t>
  </si>
  <si>
    <t>TC_MKT</t>
  </si>
  <si>
    <t>Coupon List</t>
  </si>
  <si>
    <t>TC_COU</t>
  </si>
  <si>
    <t>Mail Form</t>
  </si>
  <si>
    <t>TC_MAIL</t>
  </si>
  <si>
    <t>Store Location List</t>
  </si>
  <si>
    <t>TC_SLOC</t>
  </si>
  <si>
    <t>Language List</t>
  </si>
  <si>
    <t>TC_LANGL</t>
  </si>
  <si>
    <t>Currency List</t>
  </si>
  <si>
    <t>TC_CURR</t>
  </si>
  <si>
    <t>Stocks Status List</t>
  </si>
  <si>
    <t>TC_SSTAT</t>
  </si>
  <si>
    <t>TC_OSTAT</t>
  </si>
  <si>
    <t>Order Status List</t>
  </si>
  <si>
    <t>Countries List</t>
  </si>
  <si>
    <t>TC_CNTY</t>
  </si>
  <si>
    <t>Zones List</t>
  </si>
  <si>
    <t>TC_ZONE</t>
  </si>
  <si>
    <t>Advanced Sales</t>
  </si>
  <si>
    <t>TC_ADVSA</t>
  </si>
  <si>
    <t>Advanced Sales Profit</t>
  </si>
  <si>
    <t>TC_ADVSP</t>
  </si>
  <si>
    <t>TC_ADVPR</t>
  </si>
  <si>
    <t>Advanced Products</t>
  </si>
  <si>
    <t>Advanced Products Profits</t>
  </si>
  <si>
    <t>TC_ADVPP</t>
  </si>
  <si>
    <t>TC_ADVCU</t>
  </si>
  <si>
    <t>Advanced Customers</t>
  </si>
  <si>
    <t>Account Tab In Header</t>
  </si>
  <si>
    <t>AH</t>
  </si>
  <si>
    <t>User Interface</t>
  </si>
  <si>
    <t>Customer Management</t>
  </si>
  <si>
    <t>No of Passed TCs</t>
  </si>
  <si>
    <t>No of Failed TCs</t>
  </si>
  <si>
    <t>No of Bugs</t>
  </si>
  <si>
    <t>API</t>
  </si>
  <si>
    <t xml:space="preserve">Users  </t>
  </si>
  <si>
    <t>Posts</t>
  </si>
  <si>
    <t>Comments</t>
  </si>
  <si>
    <t>Todo</t>
  </si>
  <si>
    <t>API_COM</t>
  </si>
  <si>
    <t>API_POST</t>
  </si>
  <si>
    <t>API_USER</t>
  </si>
  <si>
    <t>API_DO</t>
  </si>
  <si>
    <t>Test Suite Name</t>
  </si>
  <si>
    <t>API Users</t>
  </si>
  <si>
    <t>API Posts</t>
  </si>
  <si>
    <t>API Comments</t>
  </si>
  <si>
    <t>API Todo</t>
  </si>
  <si>
    <t>DB_CUS</t>
  </si>
  <si>
    <t>DB_ORD</t>
  </si>
  <si>
    <t>DB_PROD</t>
  </si>
  <si>
    <t>DB_ADD</t>
  </si>
  <si>
    <t>Customers</t>
  </si>
  <si>
    <t>Products</t>
  </si>
  <si>
    <t>Addresses</t>
  </si>
  <si>
    <t>Total</t>
  </si>
  <si>
    <t>Passed TCs</t>
  </si>
  <si>
    <t>Failed TCs</t>
  </si>
  <si>
    <t>N</t>
  </si>
  <si>
    <t>%</t>
  </si>
  <si>
    <t>Pass Rate %</t>
  </si>
  <si>
    <t>No of TCs Blocked</t>
  </si>
  <si>
    <t>Total No of TCs = 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</si>
</sst>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3" xfId="0" applyFont="1" applyBorder="1"/>
    <xf numFmtId="0" fontId="1" fillId="0" borderId="5" xfId="0" applyFont="1" applyBorder="1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3" borderId="6" xfId="0" applyFont="1" applyFill="1" applyBorder="1" applyAlignment="1">
      <alignment horizontal="center" vertical="top"/>
    </xf>
    <xf numFmtId="0" fontId="1" fillId="3" borderId="6" xfId="0" applyFont="1" applyFill="1" applyBorder="1"/>
    <xf numFmtId="0" fontId="1" fillId="2" borderId="6" xfId="0" applyFont="1" applyFill="1" applyBorder="1"/>
    <xf numFmtId="0" fontId="1" fillId="3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3" borderId="6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 vertical="top"/>
    </xf>
    <xf numFmtId="164" fontId="1" fillId="2" borderId="0" xfId="0" applyNumberFormat="1" applyFont="1" applyFill="1"/>
    <xf numFmtId="164" fontId="1" fillId="0" borderId="0" xfId="0" applyNumberFormat="1" applyFont="1"/>
    <xf numFmtId="0" fontId="2" fillId="4" borderId="6" xfId="0" applyFont="1" applyFill="1" applyBorder="1" applyAlignment="1">
      <alignment horizontal="center"/>
    </xf>
    <xf numFmtId="164" fontId="1" fillId="2" borderId="6" xfId="0" applyNumberFormat="1" applyFont="1" applyFill="1" applyBorder="1"/>
    <xf numFmtId="164" fontId="1" fillId="2" borderId="0" xfId="0" applyNumberFormat="1" applyFont="1" applyFill="1" applyAlignment="1">
      <alignment vertical="top"/>
    </xf>
    <xf numFmtId="164" fontId="1" fillId="0" borderId="0" xfId="0" applyNumberFormat="1" applyFont="1" applyAlignment="1">
      <alignment vertical="top"/>
    </xf>
    <xf numFmtId="164" fontId="1" fillId="2" borderId="6" xfId="0" applyNumberFormat="1" applyFont="1" applyFill="1" applyBorder="1" applyAlignment="1">
      <alignment horizontal="center" vertical="top"/>
    </xf>
    <xf numFmtId="164" fontId="1" fillId="2" borderId="7" xfId="0" applyNumberFormat="1" applyFont="1" applyFill="1" applyBorder="1"/>
    <xf numFmtId="0" fontId="1" fillId="4" borderId="6" xfId="0" applyFont="1" applyFill="1" applyBorder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 vertical="top"/>
    </xf>
    <xf numFmtId="0" fontId="2" fillId="2" borderId="10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/>
    </xf>
    <xf numFmtId="0" fontId="1" fillId="2" borderId="7" xfId="0" applyFont="1" applyFill="1" applyBorder="1"/>
    <xf numFmtId="164" fontId="1" fillId="3" borderId="6" xfId="0" applyNumberFormat="1" applyFont="1" applyFill="1" applyBorder="1"/>
    <xf numFmtId="164" fontId="1" fillId="3" borderId="6" xfId="0" applyNumberFormat="1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4" fontId="2" fillId="4" borderId="6" xfId="0" applyNumberFormat="1" applyFont="1" applyFill="1" applyBorder="1" applyAlignment="1">
      <alignment horizontal="center"/>
    </xf>
    <xf numFmtId="164" fontId="1" fillId="0" borderId="6" xfId="0" applyNumberFormat="1" applyFont="1" applyBorder="1"/>
    <xf numFmtId="164" fontId="1" fillId="4" borderId="6" xfId="0" applyNumberFormat="1" applyFont="1" applyFill="1" applyBorder="1"/>
    <xf numFmtId="0" fontId="1" fillId="3" borderId="6" xfId="0" applyFont="1" applyFill="1" applyBorder="1" applyAlignment="1">
      <alignment horizontal="left" vertical="top"/>
    </xf>
    <xf numFmtId="0" fontId="1" fillId="2" borderId="6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left" vertical="top"/>
    </xf>
    <xf numFmtId="0" fontId="2" fillId="4" borderId="6" xfId="0" applyFont="1" applyFill="1" applyBorder="1" applyAlignment="1">
      <alignment horizontal="center"/>
    </xf>
    <xf numFmtId="164" fontId="1" fillId="3" borderId="7" xfId="0" applyNumberFormat="1" applyFont="1" applyFill="1" applyBorder="1" applyAlignment="1">
      <alignment horizontal="center" vertical="top"/>
    </xf>
    <xf numFmtId="164" fontId="1" fillId="3" borderId="8" xfId="0" applyNumberFormat="1" applyFont="1" applyFill="1" applyBorder="1" applyAlignment="1">
      <alignment horizontal="center" vertical="top"/>
    </xf>
    <xf numFmtId="164" fontId="1" fillId="3" borderId="9" xfId="0" applyNumberFormat="1" applyFont="1" applyFill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top"/>
    </xf>
    <xf numFmtId="0" fontId="1" fillId="2" borderId="8" xfId="0" applyFont="1" applyFill="1" applyBorder="1" applyAlignment="1">
      <alignment horizontal="center" vertical="top"/>
    </xf>
    <xf numFmtId="164" fontId="1" fillId="2" borderId="7" xfId="0" applyNumberFormat="1" applyFont="1" applyFill="1" applyBorder="1" applyAlignment="1">
      <alignment horizontal="center" vertical="top"/>
    </xf>
    <xf numFmtId="164" fontId="1" fillId="2" borderId="8" xfId="0" applyNumberFormat="1" applyFont="1" applyFill="1" applyBorder="1" applyAlignment="1">
      <alignment horizontal="center" vertical="top"/>
    </xf>
    <xf numFmtId="164" fontId="1" fillId="2" borderId="9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380E7-8EF2-AC43-8B9D-DE4CE158F7F2}">
  <dimension ref="A1:S117"/>
  <sheetViews>
    <sheetView tabSelected="1" topLeftCell="A31" workbookViewId="0">
      <selection activeCell="K29" sqref="K29:K53"/>
    </sheetView>
  </sheetViews>
  <sheetFormatPr baseColWidth="10" defaultRowHeight="24" x14ac:dyDescent="0.3"/>
  <cols>
    <col min="1" max="1" width="5" style="18" bestFit="1" customWidth="1"/>
    <col min="2" max="2" width="23.1640625" style="2" bestFit="1" customWidth="1"/>
    <col min="3" max="3" width="19" style="1" bestFit="1" customWidth="1"/>
    <col min="4" max="4" width="34.6640625" style="1" bestFit="1" customWidth="1"/>
    <col min="5" max="5" width="19.6640625" style="1" bestFit="1" customWidth="1"/>
    <col min="6" max="6" width="11.6640625" style="1" bestFit="1" customWidth="1"/>
    <col min="7" max="7" width="13.5" style="2" bestFit="1" customWidth="1"/>
    <col min="8" max="8" width="22.5" style="1" bestFit="1" customWidth="1"/>
    <col min="9" max="9" width="20.83203125" style="1" bestFit="1" customWidth="1"/>
    <col min="10" max="10" width="14.1640625" style="1" hidden="1" customWidth="1"/>
    <col min="11" max="11" width="20.6640625" style="1" bestFit="1" customWidth="1"/>
    <col min="12" max="12" width="23.33203125" style="1" bestFit="1" customWidth="1"/>
    <col min="13" max="13" width="10.83203125" style="24"/>
    <col min="14" max="14" width="25.83203125" style="28" bestFit="1" customWidth="1"/>
    <col min="15" max="15" width="25.83203125" style="28" hidden="1" customWidth="1"/>
    <col min="16" max="16" width="25.83203125" style="28" customWidth="1"/>
    <col min="17" max="17" width="19.6640625" style="1" bestFit="1" customWidth="1"/>
    <col min="18" max="18" width="13.5" style="1" bestFit="1" customWidth="1"/>
    <col min="19" max="16384" width="10.83203125" style="1"/>
  </cols>
  <sheetData>
    <row r="1" spans="1:19" s="32" customFormat="1" x14ac:dyDescent="0.3">
      <c r="A1" s="17" t="s">
        <v>3</v>
      </c>
      <c r="B1" s="25" t="s">
        <v>0</v>
      </c>
      <c r="C1" s="25" t="s">
        <v>18</v>
      </c>
      <c r="D1" s="25" t="s">
        <v>129</v>
      </c>
      <c r="E1" s="25" t="s">
        <v>1</v>
      </c>
      <c r="F1" s="25" t="s">
        <v>21</v>
      </c>
      <c r="G1" s="25" t="s">
        <v>2</v>
      </c>
      <c r="H1" s="25" t="s">
        <v>117</v>
      </c>
      <c r="I1" s="25" t="s">
        <v>118</v>
      </c>
      <c r="J1" s="25" t="s">
        <v>119</v>
      </c>
      <c r="K1" s="25" t="s">
        <v>119</v>
      </c>
      <c r="L1" s="25" t="s">
        <v>147</v>
      </c>
      <c r="M1" s="48" t="s">
        <v>146</v>
      </c>
      <c r="N1" s="48"/>
      <c r="O1" s="34"/>
      <c r="P1" s="34"/>
      <c r="Q1" s="48" t="s">
        <v>148</v>
      </c>
      <c r="R1" s="48"/>
      <c r="S1" s="48"/>
    </row>
    <row r="2" spans="1:19" s="8" customFormat="1" x14ac:dyDescent="0.3">
      <c r="A2" s="45">
        <v>1</v>
      </c>
      <c r="B2" s="47" t="s">
        <v>4</v>
      </c>
      <c r="C2" s="13" t="s">
        <v>34</v>
      </c>
      <c r="D2" s="13" t="s">
        <v>19</v>
      </c>
      <c r="E2" s="13">
        <v>14</v>
      </c>
      <c r="F2" s="45">
        <v>27</v>
      </c>
      <c r="G2" s="47" t="s">
        <v>13</v>
      </c>
      <c r="H2" s="13">
        <v>14</v>
      </c>
      <c r="I2" s="13">
        <v>0</v>
      </c>
      <c r="J2" s="13"/>
      <c r="K2" s="13"/>
      <c r="L2" s="13"/>
      <c r="M2" s="26">
        <v>100</v>
      </c>
      <c r="N2" s="54">
        <v>92.592592592592595</v>
      </c>
      <c r="O2" s="33">
        <f>SUM(H2:H5)*100/F2</f>
        <v>92.592592592592595</v>
      </c>
      <c r="P2" s="33"/>
      <c r="Q2" s="13"/>
      <c r="R2" s="16" t="s">
        <v>144</v>
      </c>
      <c r="S2" s="16" t="s">
        <v>145</v>
      </c>
    </row>
    <row r="3" spans="1:19" s="8" customFormat="1" x14ac:dyDescent="0.3">
      <c r="A3" s="45"/>
      <c r="B3" s="47"/>
      <c r="C3" s="13" t="s">
        <v>48</v>
      </c>
      <c r="D3" s="13" t="s">
        <v>20</v>
      </c>
      <c r="E3" s="13">
        <v>5</v>
      </c>
      <c r="F3" s="45"/>
      <c r="G3" s="47"/>
      <c r="H3" s="13">
        <v>5</v>
      </c>
      <c r="I3" s="13">
        <v>0</v>
      </c>
      <c r="J3" s="13"/>
      <c r="K3" s="13"/>
      <c r="L3" s="13"/>
      <c r="M3" s="26">
        <v>100</v>
      </c>
      <c r="N3" s="55"/>
      <c r="O3" s="33"/>
      <c r="P3" s="33"/>
      <c r="Q3" s="13" t="s">
        <v>142</v>
      </c>
      <c r="R3" s="15">
        <f>SUM(H2:H62)</f>
        <v>354</v>
      </c>
      <c r="S3" s="29">
        <f>R3*100/426</f>
        <v>83.098591549295776</v>
      </c>
    </row>
    <row r="4" spans="1:19" s="8" customFormat="1" x14ac:dyDescent="0.3">
      <c r="A4" s="45"/>
      <c r="B4" s="47"/>
      <c r="C4" s="13" t="s">
        <v>35</v>
      </c>
      <c r="D4" s="13" t="s">
        <v>51</v>
      </c>
      <c r="E4" s="13">
        <v>6</v>
      </c>
      <c r="F4" s="45"/>
      <c r="G4" s="47"/>
      <c r="H4" s="13">
        <v>4</v>
      </c>
      <c r="I4" s="13">
        <v>2</v>
      </c>
      <c r="J4" s="13">
        <v>2</v>
      </c>
      <c r="K4" s="13">
        <v>2</v>
      </c>
      <c r="L4" s="13">
        <v>0</v>
      </c>
      <c r="M4" s="26">
        <v>66.666666666666671</v>
      </c>
      <c r="N4" s="55"/>
      <c r="O4" s="33"/>
      <c r="P4" s="33"/>
      <c r="Q4" s="13" t="s">
        <v>143</v>
      </c>
      <c r="R4" s="16">
        <f>SUM(I2:I62)</f>
        <v>72</v>
      </c>
      <c r="S4" s="29">
        <f>R4*100/426</f>
        <v>16.901408450704224</v>
      </c>
    </row>
    <row r="5" spans="1:19" s="8" customFormat="1" x14ac:dyDescent="0.3">
      <c r="A5" s="45"/>
      <c r="B5" s="47"/>
      <c r="C5" s="13" t="s">
        <v>60</v>
      </c>
      <c r="D5" s="13" t="s">
        <v>59</v>
      </c>
      <c r="E5" s="13">
        <v>2</v>
      </c>
      <c r="F5" s="45"/>
      <c r="G5" s="47"/>
      <c r="H5" s="13">
        <v>2</v>
      </c>
      <c r="I5" s="13">
        <v>0</v>
      </c>
      <c r="J5" s="13"/>
      <c r="K5" s="13"/>
      <c r="L5" s="13"/>
      <c r="M5" s="26">
        <v>100</v>
      </c>
      <c r="N5" s="56"/>
      <c r="O5" s="33"/>
      <c r="P5" s="33"/>
      <c r="R5" s="22"/>
      <c r="S5" s="22"/>
    </row>
    <row r="6" spans="1:19" s="8" customFormat="1" x14ac:dyDescent="0.3">
      <c r="A6" s="46">
        <v>2</v>
      </c>
      <c r="B6" s="44" t="s">
        <v>5</v>
      </c>
      <c r="C6" s="12" t="s">
        <v>36</v>
      </c>
      <c r="D6" s="12" t="s">
        <v>26</v>
      </c>
      <c r="E6" s="12">
        <v>4</v>
      </c>
      <c r="F6" s="46">
        <v>124</v>
      </c>
      <c r="G6" s="44" t="s">
        <v>13</v>
      </c>
      <c r="H6" s="12">
        <v>4</v>
      </c>
      <c r="I6" s="12">
        <v>0</v>
      </c>
      <c r="J6" s="12"/>
      <c r="K6" s="12"/>
      <c r="L6" s="12"/>
      <c r="M6" s="37">
        <v>100</v>
      </c>
      <c r="N6" s="49">
        <v>94.4</v>
      </c>
      <c r="O6" s="33">
        <f>SUM(H6:H21)*100/F6</f>
        <v>94.354838709677423</v>
      </c>
      <c r="P6" s="33"/>
    </row>
    <row r="7" spans="1:19" s="8" customFormat="1" x14ac:dyDescent="0.3">
      <c r="A7" s="46"/>
      <c r="B7" s="44"/>
      <c r="C7" s="12" t="s">
        <v>61</v>
      </c>
      <c r="D7" s="12" t="s">
        <v>64</v>
      </c>
      <c r="E7" s="12">
        <v>12</v>
      </c>
      <c r="F7" s="46"/>
      <c r="G7" s="44"/>
      <c r="H7" s="12">
        <v>12</v>
      </c>
      <c r="I7" s="12">
        <v>0</v>
      </c>
      <c r="J7" s="12"/>
      <c r="K7" s="12"/>
      <c r="L7" s="12"/>
      <c r="M7" s="37">
        <v>100</v>
      </c>
      <c r="N7" s="50"/>
      <c r="O7" s="33"/>
      <c r="P7" s="33"/>
    </row>
    <row r="8" spans="1:19" s="8" customFormat="1" x14ac:dyDescent="0.3">
      <c r="A8" s="46"/>
      <c r="B8" s="44"/>
      <c r="C8" s="12" t="s">
        <v>62</v>
      </c>
      <c r="D8" s="12" t="s">
        <v>63</v>
      </c>
      <c r="E8" s="12">
        <v>12</v>
      </c>
      <c r="F8" s="46"/>
      <c r="G8" s="44"/>
      <c r="H8" s="12">
        <v>12</v>
      </c>
      <c r="I8" s="12">
        <v>0</v>
      </c>
      <c r="J8" s="12"/>
      <c r="K8" s="12"/>
      <c r="L8" s="12"/>
      <c r="M8" s="37">
        <v>100</v>
      </c>
      <c r="N8" s="50"/>
      <c r="O8" s="33"/>
      <c r="P8" s="33"/>
    </row>
    <row r="9" spans="1:19" s="8" customFormat="1" x14ac:dyDescent="0.3">
      <c r="A9" s="46"/>
      <c r="B9" s="44"/>
      <c r="C9" s="12" t="s">
        <v>37</v>
      </c>
      <c r="D9" s="12" t="s">
        <v>52</v>
      </c>
      <c r="E9" s="12">
        <v>10</v>
      </c>
      <c r="F9" s="46"/>
      <c r="G9" s="44"/>
      <c r="H9" s="12">
        <v>10</v>
      </c>
      <c r="I9" s="12">
        <v>0</v>
      </c>
      <c r="J9" s="12"/>
      <c r="K9" s="12"/>
      <c r="L9" s="12"/>
      <c r="M9" s="37">
        <v>100</v>
      </c>
      <c r="N9" s="50"/>
      <c r="O9" s="33"/>
      <c r="P9" s="33"/>
    </row>
    <row r="10" spans="1:19" s="8" customFormat="1" x14ac:dyDescent="0.3">
      <c r="A10" s="46"/>
      <c r="B10" s="44"/>
      <c r="C10" s="12" t="s">
        <v>23</v>
      </c>
      <c r="D10" s="12" t="s">
        <v>53</v>
      </c>
      <c r="E10" s="12">
        <v>6</v>
      </c>
      <c r="F10" s="46"/>
      <c r="G10" s="44"/>
      <c r="H10" s="12">
        <v>6</v>
      </c>
      <c r="I10" s="12">
        <v>0</v>
      </c>
      <c r="J10" s="12"/>
      <c r="K10" s="12"/>
      <c r="L10" s="12"/>
      <c r="M10" s="37">
        <v>100</v>
      </c>
      <c r="N10" s="50"/>
      <c r="O10" s="33"/>
      <c r="P10" s="33"/>
    </row>
    <row r="11" spans="1:19" s="8" customFormat="1" x14ac:dyDescent="0.3">
      <c r="A11" s="46"/>
      <c r="B11" s="44"/>
      <c r="C11" s="12" t="s">
        <v>38</v>
      </c>
      <c r="D11" s="12" t="s">
        <v>54</v>
      </c>
      <c r="E11" s="12">
        <v>22</v>
      </c>
      <c r="F11" s="46"/>
      <c r="G11" s="44"/>
      <c r="H11" s="12">
        <v>20</v>
      </c>
      <c r="I11" s="12">
        <v>2</v>
      </c>
      <c r="J11" s="12">
        <v>2</v>
      </c>
      <c r="K11" s="12">
        <v>2</v>
      </c>
      <c r="L11" s="12">
        <v>0</v>
      </c>
      <c r="M11" s="37">
        <v>90.909090909090907</v>
      </c>
      <c r="N11" s="50"/>
      <c r="O11" s="33"/>
      <c r="P11" s="33"/>
    </row>
    <row r="12" spans="1:19" s="8" customFormat="1" x14ac:dyDescent="0.3">
      <c r="A12" s="46"/>
      <c r="B12" s="44"/>
      <c r="C12" s="12" t="s">
        <v>39</v>
      </c>
      <c r="D12" s="12" t="s">
        <v>27</v>
      </c>
      <c r="E12" s="12">
        <v>8</v>
      </c>
      <c r="F12" s="46"/>
      <c r="G12" s="44"/>
      <c r="H12" s="12">
        <v>7</v>
      </c>
      <c r="I12" s="12">
        <v>1</v>
      </c>
      <c r="J12" s="12">
        <v>1</v>
      </c>
      <c r="K12" s="12">
        <v>1</v>
      </c>
      <c r="L12" s="12">
        <v>0</v>
      </c>
      <c r="M12" s="37">
        <v>100</v>
      </c>
      <c r="N12" s="50"/>
      <c r="O12" s="33"/>
      <c r="P12" s="33"/>
    </row>
    <row r="13" spans="1:19" s="8" customFormat="1" x14ac:dyDescent="0.3">
      <c r="A13" s="46"/>
      <c r="B13" s="44"/>
      <c r="C13" s="12" t="s">
        <v>40</v>
      </c>
      <c r="D13" s="12" t="s">
        <v>28</v>
      </c>
      <c r="E13" s="12">
        <v>12</v>
      </c>
      <c r="F13" s="46"/>
      <c r="G13" s="44"/>
      <c r="H13" s="12">
        <v>12</v>
      </c>
      <c r="I13" s="12">
        <v>0</v>
      </c>
      <c r="J13" s="12"/>
      <c r="K13" s="12"/>
      <c r="L13" s="12"/>
      <c r="M13" s="37">
        <v>100</v>
      </c>
      <c r="N13" s="50"/>
      <c r="O13" s="33"/>
      <c r="P13" s="33"/>
    </row>
    <row r="14" spans="1:19" s="8" customFormat="1" x14ac:dyDescent="0.3">
      <c r="A14" s="46"/>
      <c r="B14" s="44"/>
      <c r="C14" s="12" t="s">
        <v>41</v>
      </c>
      <c r="D14" s="12" t="s">
        <v>29</v>
      </c>
      <c r="E14" s="12">
        <v>3</v>
      </c>
      <c r="F14" s="46"/>
      <c r="G14" s="44"/>
      <c r="H14" s="12">
        <v>2</v>
      </c>
      <c r="I14" s="12">
        <v>1</v>
      </c>
      <c r="J14" s="12">
        <v>1</v>
      </c>
      <c r="K14" s="12">
        <v>0</v>
      </c>
      <c r="L14" s="12">
        <v>1</v>
      </c>
      <c r="M14" s="37">
        <v>66.666666666666671</v>
      </c>
      <c r="N14" s="50"/>
      <c r="O14" s="33"/>
      <c r="P14" s="33"/>
    </row>
    <row r="15" spans="1:19" s="8" customFormat="1" x14ac:dyDescent="0.3">
      <c r="A15" s="46"/>
      <c r="B15" s="44"/>
      <c r="C15" s="12" t="s">
        <v>42</v>
      </c>
      <c r="D15" s="12" t="s">
        <v>30</v>
      </c>
      <c r="E15" s="12">
        <v>3</v>
      </c>
      <c r="F15" s="46"/>
      <c r="G15" s="44"/>
      <c r="H15" s="12">
        <v>2</v>
      </c>
      <c r="I15" s="12">
        <v>1</v>
      </c>
      <c r="J15" s="12">
        <v>1</v>
      </c>
      <c r="K15" s="12">
        <v>0</v>
      </c>
      <c r="L15" s="12">
        <v>1</v>
      </c>
      <c r="M15" s="37">
        <v>66.666666666666671</v>
      </c>
      <c r="N15" s="50"/>
      <c r="O15" s="33"/>
      <c r="P15" s="33"/>
    </row>
    <row r="16" spans="1:19" s="8" customFormat="1" x14ac:dyDescent="0.3">
      <c r="A16" s="46"/>
      <c r="B16" s="44"/>
      <c r="C16" s="12" t="s">
        <v>43</v>
      </c>
      <c r="D16" s="12" t="s">
        <v>55</v>
      </c>
      <c r="E16" s="12">
        <v>4</v>
      </c>
      <c r="F16" s="46"/>
      <c r="G16" s="44"/>
      <c r="H16" s="12">
        <v>4</v>
      </c>
      <c r="I16" s="12">
        <v>0</v>
      </c>
      <c r="J16" s="12"/>
      <c r="K16" s="12"/>
      <c r="L16" s="12"/>
      <c r="M16" s="37">
        <v>100</v>
      </c>
      <c r="N16" s="50"/>
      <c r="O16" s="33"/>
      <c r="P16" s="33"/>
    </row>
    <row r="17" spans="1:16" s="8" customFormat="1" x14ac:dyDescent="0.3">
      <c r="A17" s="46"/>
      <c r="B17" s="44"/>
      <c r="C17" s="12" t="s">
        <v>44</v>
      </c>
      <c r="D17" s="12" t="s">
        <v>31</v>
      </c>
      <c r="E17" s="12">
        <v>6</v>
      </c>
      <c r="F17" s="46"/>
      <c r="G17" s="44"/>
      <c r="H17" s="12">
        <v>6</v>
      </c>
      <c r="I17" s="12">
        <v>0</v>
      </c>
      <c r="J17" s="12"/>
      <c r="K17" s="12"/>
      <c r="L17" s="12"/>
      <c r="M17" s="37">
        <v>100</v>
      </c>
      <c r="N17" s="50"/>
      <c r="O17" s="33"/>
      <c r="P17" s="33"/>
    </row>
    <row r="18" spans="1:16" s="8" customFormat="1" x14ac:dyDescent="0.3">
      <c r="A18" s="46"/>
      <c r="B18" s="44"/>
      <c r="C18" s="12" t="s">
        <v>45</v>
      </c>
      <c r="D18" s="12" t="s">
        <v>32</v>
      </c>
      <c r="E18" s="12">
        <v>3</v>
      </c>
      <c r="F18" s="46"/>
      <c r="G18" s="44"/>
      <c r="H18" s="12">
        <v>2</v>
      </c>
      <c r="I18" s="12">
        <v>1</v>
      </c>
      <c r="J18" s="12">
        <v>1</v>
      </c>
      <c r="K18" s="12">
        <v>0</v>
      </c>
      <c r="L18" s="12">
        <v>1</v>
      </c>
      <c r="M18" s="37">
        <v>66.666666666666671</v>
      </c>
      <c r="N18" s="50"/>
      <c r="O18" s="33"/>
      <c r="P18" s="33"/>
    </row>
    <row r="19" spans="1:16" s="8" customFormat="1" x14ac:dyDescent="0.3">
      <c r="A19" s="46"/>
      <c r="B19" s="44"/>
      <c r="C19" s="12" t="s">
        <v>46</v>
      </c>
      <c r="D19" s="12" t="s">
        <v>33</v>
      </c>
      <c r="E19" s="12">
        <v>5</v>
      </c>
      <c r="F19" s="46"/>
      <c r="G19" s="44"/>
      <c r="H19" s="12">
        <v>4</v>
      </c>
      <c r="I19" s="12">
        <v>1</v>
      </c>
      <c r="J19" s="12">
        <v>1</v>
      </c>
      <c r="K19" s="12">
        <v>1</v>
      </c>
      <c r="L19" s="12">
        <v>0</v>
      </c>
      <c r="M19" s="37">
        <v>80</v>
      </c>
      <c r="N19" s="50"/>
      <c r="O19" s="33"/>
      <c r="P19" s="33"/>
    </row>
    <row r="20" spans="1:16" s="8" customFormat="1" x14ac:dyDescent="0.3">
      <c r="A20" s="46"/>
      <c r="B20" s="44"/>
      <c r="C20" s="12" t="s">
        <v>47</v>
      </c>
      <c r="D20" s="12" t="s">
        <v>56</v>
      </c>
      <c r="E20" s="12">
        <v>10</v>
      </c>
      <c r="F20" s="46"/>
      <c r="G20" s="44"/>
      <c r="H20" s="12">
        <v>10</v>
      </c>
      <c r="I20" s="12">
        <v>0</v>
      </c>
      <c r="J20" s="12"/>
      <c r="K20" s="12"/>
      <c r="L20" s="12"/>
      <c r="M20" s="37">
        <v>100</v>
      </c>
      <c r="N20" s="50"/>
      <c r="O20" s="33"/>
      <c r="P20" s="33"/>
    </row>
    <row r="21" spans="1:16" s="8" customFormat="1" x14ac:dyDescent="0.3">
      <c r="A21" s="46"/>
      <c r="B21" s="44"/>
      <c r="C21" s="12" t="s">
        <v>114</v>
      </c>
      <c r="D21" s="12" t="s">
        <v>113</v>
      </c>
      <c r="E21" s="12">
        <v>4</v>
      </c>
      <c r="F21" s="46"/>
      <c r="G21" s="44"/>
      <c r="H21" s="12">
        <v>4</v>
      </c>
      <c r="I21" s="12">
        <v>0</v>
      </c>
      <c r="J21" s="12"/>
      <c r="K21" s="12"/>
      <c r="L21" s="12"/>
      <c r="M21" s="37">
        <v>100</v>
      </c>
      <c r="N21" s="51"/>
      <c r="O21" s="33"/>
      <c r="P21" s="33"/>
    </row>
    <row r="22" spans="1:16" s="8" customFormat="1" x14ac:dyDescent="0.3">
      <c r="A22" s="15">
        <v>3</v>
      </c>
      <c r="B22" s="20" t="s">
        <v>6</v>
      </c>
      <c r="C22" s="13" t="s">
        <v>22</v>
      </c>
      <c r="D22" s="13" t="s">
        <v>6</v>
      </c>
      <c r="E22" s="13">
        <v>25</v>
      </c>
      <c r="F22" s="16">
        <v>25</v>
      </c>
      <c r="G22" s="20" t="s">
        <v>14</v>
      </c>
      <c r="H22" s="13">
        <v>20</v>
      </c>
      <c r="I22" s="13">
        <v>5</v>
      </c>
      <c r="J22" s="13">
        <v>5</v>
      </c>
      <c r="K22" s="13">
        <v>5</v>
      </c>
      <c r="L22" s="13">
        <v>0</v>
      </c>
      <c r="M22" s="26">
        <v>80</v>
      </c>
      <c r="N22" s="29">
        <v>80</v>
      </c>
      <c r="O22" s="33">
        <f>H22*100/F22</f>
        <v>80</v>
      </c>
      <c r="P22" s="33"/>
    </row>
    <row r="23" spans="1:16" s="8" customFormat="1" x14ac:dyDescent="0.3">
      <c r="A23" s="11">
        <v>4</v>
      </c>
      <c r="B23" s="19" t="s">
        <v>7</v>
      </c>
      <c r="C23" s="12" t="s">
        <v>23</v>
      </c>
      <c r="D23" s="12" t="s">
        <v>7</v>
      </c>
      <c r="E23" s="12">
        <v>29</v>
      </c>
      <c r="F23" s="14">
        <v>29</v>
      </c>
      <c r="G23" s="19" t="s">
        <v>14</v>
      </c>
      <c r="H23" s="12">
        <v>27</v>
      </c>
      <c r="I23" s="12">
        <v>2</v>
      </c>
      <c r="J23" s="12">
        <v>2</v>
      </c>
      <c r="K23" s="12">
        <v>2</v>
      </c>
      <c r="L23" s="12">
        <v>0</v>
      </c>
      <c r="M23" s="37">
        <v>94.117647058823536</v>
      </c>
      <c r="N23" s="38">
        <v>93.1</v>
      </c>
      <c r="O23" s="33">
        <f t="shared" ref="O23:O26" si="0">H23*100/F23</f>
        <v>93.103448275862064</v>
      </c>
      <c r="P23" s="33"/>
    </row>
    <row r="24" spans="1:16" s="8" customFormat="1" x14ac:dyDescent="0.3">
      <c r="A24" s="15">
        <v>5</v>
      </c>
      <c r="B24" s="20" t="s">
        <v>8</v>
      </c>
      <c r="C24" s="13" t="s">
        <v>24</v>
      </c>
      <c r="D24" s="13" t="s">
        <v>8</v>
      </c>
      <c r="E24" s="13">
        <v>12</v>
      </c>
      <c r="F24" s="16">
        <v>12</v>
      </c>
      <c r="G24" s="20" t="s">
        <v>14</v>
      </c>
      <c r="H24" s="13">
        <v>11</v>
      </c>
      <c r="I24" s="13">
        <v>1</v>
      </c>
      <c r="J24" s="13">
        <v>1</v>
      </c>
      <c r="K24" s="13">
        <v>1</v>
      </c>
      <c r="L24" s="13">
        <v>0</v>
      </c>
      <c r="M24" s="26">
        <v>93.333333333333329</v>
      </c>
      <c r="N24" s="29">
        <v>91.7</v>
      </c>
      <c r="O24" s="33">
        <f t="shared" si="0"/>
        <v>91.666666666666671</v>
      </c>
      <c r="P24" s="33"/>
    </row>
    <row r="25" spans="1:16" s="8" customFormat="1" x14ac:dyDescent="0.3">
      <c r="A25" s="11">
        <v>6</v>
      </c>
      <c r="B25" s="19" t="s">
        <v>10</v>
      </c>
      <c r="C25" s="12" t="s">
        <v>25</v>
      </c>
      <c r="D25" s="12" t="s">
        <v>58</v>
      </c>
      <c r="E25" s="12">
        <v>49</v>
      </c>
      <c r="F25" s="14">
        <v>49</v>
      </c>
      <c r="G25" s="19" t="s">
        <v>15</v>
      </c>
      <c r="H25" s="12">
        <v>39</v>
      </c>
      <c r="I25" s="12">
        <v>10</v>
      </c>
      <c r="J25" s="12">
        <v>11</v>
      </c>
      <c r="K25" s="12">
        <v>11</v>
      </c>
      <c r="L25" s="12">
        <v>0</v>
      </c>
      <c r="M25" s="37">
        <v>79.591836734693871</v>
      </c>
      <c r="N25" s="38">
        <v>79.591836734693871</v>
      </c>
      <c r="O25" s="33">
        <f t="shared" si="0"/>
        <v>79.591836734693871</v>
      </c>
      <c r="P25" s="33"/>
    </row>
    <row r="26" spans="1:16" s="8" customFormat="1" x14ac:dyDescent="0.3">
      <c r="A26" s="15">
        <v>7</v>
      </c>
      <c r="B26" s="20" t="s">
        <v>11</v>
      </c>
      <c r="C26" s="13" t="s">
        <v>11</v>
      </c>
      <c r="D26" s="13" t="s">
        <v>11</v>
      </c>
      <c r="E26" s="13">
        <v>20</v>
      </c>
      <c r="F26" s="16">
        <v>20</v>
      </c>
      <c r="G26" s="20" t="s">
        <v>16</v>
      </c>
      <c r="H26" s="13">
        <v>17</v>
      </c>
      <c r="I26" s="13">
        <v>3</v>
      </c>
      <c r="J26" s="13">
        <v>1</v>
      </c>
      <c r="K26" s="13">
        <v>2</v>
      </c>
      <c r="L26" s="13">
        <v>1</v>
      </c>
      <c r="M26" s="26">
        <v>85</v>
      </c>
      <c r="N26" s="29">
        <v>85</v>
      </c>
      <c r="O26" s="33">
        <f t="shared" si="0"/>
        <v>85</v>
      </c>
      <c r="P26" s="33"/>
    </row>
    <row r="27" spans="1:16" s="8" customFormat="1" x14ac:dyDescent="0.3">
      <c r="A27" s="46">
        <v>8</v>
      </c>
      <c r="B27" s="44" t="s">
        <v>12</v>
      </c>
      <c r="C27" s="12" t="s">
        <v>49</v>
      </c>
      <c r="D27" s="12" t="s">
        <v>20</v>
      </c>
      <c r="E27" s="12">
        <v>5</v>
      </c>
      <c r="F27" s="46">
        <v>96</v>
      </c>
      <c r="G27" s="44" t="s">
        <v>17</v>
      </c>
      <c r="H27" s="12">
        <v>5</v>
      </c>
      <c r="I27" s="12">
        <v>0</v>
      </c>
      <c r="J27" s="12"/>
      <c r="K27" s="12"/>
      <c r="L27" s="12"/>
      <c r="M27" s="37">
        <v>100</v>
      </c>
      <c r="N27" s="49">
        <v>57.291666666666664</v>
      </c>
      <c r="O27" s="33">
        <f>SUM(H27:H54)*100/F27</f>
        <v>57.291666666666664</v>
      </c>
      <c r="P27" s="33"/>
    </row>
    <row r="28" spans="1:16" s="8" customFormat="1" x14ac:dyDescent="0.3">
      <c r="A28" s="46"/>
      <c r="B28" s="44"/>
      <c r="C28" s="12" t="s">
        <v>50</v>
      </c>
      <c r="D28" s="12" t="s">
        <v>59</v>
      </c>
      <c r="E28" s="12">
        <v>2</v>
      </c>
      <c r="F28" s="46"/>
      <c r="G28" s="44"/>
      <c r="H28" s="12">
        <v>2</v>
      </c>
      <c r="I28" s="12">
        <v>0</v>
      </c>
      <c r="J28" s="12"/>
      <c r="K28" s="12"/>
      <c r="L28" s="12"/>
      <c r="M28" s="37">
        <v>100</v>
      </c>
      <c r="N28" s="50"/>
      <c r="O28" s="33"/>
      <c r="P28" s="33"/>
    </row>
    <row r="29" spans="1:16" s="8" customFormat="1" x14ac:dyDescent="0.3">
      <c r="A29" s="46"/>
      <c r="B29" s="44"/>
      <c r="C29" s="12" t="s">
        <v>66</v>
      </c>
      <c r="D29" s="12" t="s">
        <v>64</v>
      </c>
      <c r="E29" s="12">
        <v>3</v>
      </c>
      <c r="F29" s="46"/>
      <c r="G29" s="44"/>
      <c r="H29" s="12">
        <v>3</v>
      </c>
      <c r="I29" s="12">
        <v>0</v>
      </c>
      <c r="J29" s="12"/>
      <c r="K29" s="12"/>
      <c r="L29" s="12"/>
      <c r="M29" s="37">
        <v>100</v>
      </c>
      <c r="N29" s="50"/>
      <c r="O29" s="33"/>
      <c r="P29" s="33"/>
    </row>
    <row r="30" spans="1:16" s="8" customFormat="1" x14ac:dyDescent="0.3">
      <c r="A30" s="46"/>
      <c r="B30" s="44"/>
      <c r="C30" s="12" t="s">
        <v>65</v>
      </c>
      <c r="D30" s="12" t="s">
        <v>28</v>
      </c>
      <c r="E30" s="12">
        <v>14</v>
      </c>
      <c r="F30" s="46"/>
      <c r="G30" s="44"/>
      <c r="H30" s="12">
        <v>4</v>
      </c>
      <c r="I30" s="12">
        <v>10</v>
      </c>
      <c r="J30" s="12">
        <v>10</v>
      </c>
      <c r="K30" s="12">
        <v>3</v>
      </c>
      <c r="L30" s="12">
        <v>7</v>
      </c>
      <c r="M30" s="37">
        <v>28.571428571428573</v>
      </c>
      <c r="N30" s="50"/>
      <c r="O30" s="33"/>
      <c r="P30" s="33"/>
    </row>
    <row r="31" spans="1:16" s="8" customFormat="1" x14ac:dyDescent="0.3">
      <c r="A31" s="46"/>
      <c r="B31" s="44"/>
      <c r="C31" s="12" t="s">
        <v>67</v>
      </c>
      <c r="D31" s="12" t="s">
        <v>68</v>
      </c>
      <c r="E31" s="12">
        <v>2</v>
      </c>
      <c r="F31" s="46"/>
      <c r="G31" s="44"/>
      <c r="H31" s="12">
        <v>0</v>
      </c>
      <c r="I31" s="12">
        <v>2</v>
      </c>
      <c r="J31" s="12">
        <v>2</v>
      </c>
      <c r="K31" s="12">
        <v>2</v>
      </c>
      <c r="L31" s="12">
        <v>0</v>
      </c>
      <c r="M31" s="37">
        <v>0</v>
      </c>
      <c r="N31" s="50"/>
      <c r="O31" s="33"/>
      <c r="P31" s="33"/>
    </row>
    <row r="32" spans="1:16" s="8" customFormat="1" x14ac:dyDescent="0.3">
      <c r="A32" s="46"/>
      <c r="B32" s="44"/>
      <c r="C32" s="12" t="s">
        <v>69</v>
      </c>
      <c r="D32" s="12" t="s">
        <v>116</v>
      </c>
      <c r="E32" s="12">
        <v>9</v>
      </c>
      <c r="F32" s="46"/>
      <c r="G32" s="44"/>
      <c r="H32" s="12">
        <v>7</v>
      </c>
      <c r="I32" s="12">
        <v>2</v>
      </c>
      <c r="J32" s="12">
        <v>2</v>
      </c>
      <c r="K32" s="12">
        <v>2</v>
      </c>
      <c r="L32" s="12">
        <v>0</v>
      </c>
      <c r="M32" s="37">
        <v>77.777777777777771</v>
      </c>
      <c r="N32" s="50"/>
      <c r="O32" s="33"/>
      <c r="P32" s="33"/>
    </row>
    <row r="33" spans="1:16" s="8" customFormat="1" x14ac:dyDescent="0.3">
      <c r="A33" s="46"/>
      <c r="B33" s="44"/>
      <c r="C33" s="12" t="s">
        <v>70</v>
      </c>
      <c r="D33" s="12" t="s">
        <v>115</v>
      </c>
      <c r="E33" s="12">
        <v>3</v>
      </c>
      <c r="F33" s="46"/>
      <c r="G33" s="44"/>
      <c r="H33" s="12">
        <v>3</v>
      </c>
      <c r="I33" s="12">
        <v>0</v>
      </c>
      <c r="J33" s="12"/>
      <c r="K33" s="12"/>
      <c r="L33" s="12"/>
      <c r="M33" s="37">
        <v>100</v>
      </c>
      <c r="N33" s="50"/>
      <c r="O33" s="33"/>
      <c r="P33" s="33"/>
    </row>
    <row r="34" spans="1:16" s="8" customFormat="1" x14ac:dyDescent="0.3">
      <c r="A34" s="46"/>
      <c r="B34" s="44"/>
      <c r="C34" s="12" t="s">
        <v>72</v>
      </c>
      <c r="D34" s="12" t="s">
        <v>71</v>
      </c>
      <c r="E34" s="12">
        <v>5</v>
      </c>
      <c r="F34" s="46"/>
      <c r="G34" s="44"/>
      <c r="H34" s="12">
        <v>2</v>
      </c>
      <c r="I34" s="12">
        <v>3</v>
      </c>
      <c r="J34" s="12">
        <v>3</v>
      </c>
      <c r="K34" s="12">
        <v>0</v>
      </c>
      <c r="L34" s="12">
        <v>3</v>
      </c>
      <c r="M34" s="37">
        <v>40</v>
      </c>
      <c r="N34" s="50"/>
      <c r="O34" s="33"/>
      <c r="P34" s="33"/>
    </row>
    <row r="35" spans="1:16" s="8" customFormat="1" x14ac:dyDescent="0.3">
      <c r="A35" s="46"/>
      <c r="B35" s="44"/>
      <c r="C35" s="12" t="s">
        <v>74</v>
      </c>
      <c r="D35" s="12" t="s">
        <v>73</v>
      </c>
      <c r="E35" s="12">
        <v>3</v>
      </c>
      <c r="F35" s="46"/>
      <c r="G35" s="44"/>
      <c r="H35" s="12">
        <v>2</v>
      </c>
      <c r="I35" s="12">
        <v>1</v>
      </c>
      <c r="J35" s="12">
        <v>1</v>
      </c>
      <c r="K35" s="12">
        <v>0</v>
      </c>
      <c r="L35" s="12">
        <v>1</v>
      </c>
      <c r="M35" s="37">
        <v>66.666666666666671</v>
      </c>
      <c r="N35" s="50"/>
      <c r="O35" s="33"/>
      <c r="P35" s="33"/>
    </row>
    <row r="36" spans="1:16" s="8" customFormat="1" x14ac:dyDescent="0.3">
      <c r="A36" s="46"/>
      <c r="B36" s="44"/>
      <c r="C36" s="12" t="s">
        <v>76</v>
      </c>
      <c r="D36" s="12" t="s">
        <v>75</v>
      </c>
      <c r="E36" s="12">
        <v>1</v>
      </c>
      <c r="F36" s="46"/>
      <c r="G36" s="44"/>
      <c r="H36" s="12">
        <v>0</v>
      </c>
      <c r="I36" s="12">
        <v>1</v>
      </c>
      <c r="J36" s="12">
        <v>1</v>
      </c>
      <c r="K36" s="12">
        <v>0</v>
      </c>
      <c r="L36" s="12">
        <v>1</v>
      </c>
      <c r="M36" s="37">
        <v>0</v>
      </c>
      <c r="N36" s="50"/>
      <c r="O36" s="33"/>
      <c r="P36" s="33"/>
    </row>
    <row r="37" spans="1:16" s="8" customFormat="1" x14ac:dyDescent="0.3">
      <c r="A37" s="46"/>
      <c r="B37" s="44"/>
      <c r="C37" s="12" t="s">
        <v>78</v>
      </c>
      <c r="D37" s="12" t="s">
        <v>77</v>
      </c>
      <c r="E37" s="12">
        <v>5</v>
      </c>
      <c r="F37" s="46"/>
      <c r="G37" s="44"/>
      <c r="H37" s="12">
        <v>2</v>
      </c>
      <c r="I37" s="12">
        <v>3</v>
      </c>
      <c r="J37" s="12">
        <v>3</v>
      </c>
      <c r="K37" s="12">
        <v>2</v>
      </c>
      <c r="L37" s="12">
        <v>1</v>
      </c>
      <c r="M37" s="37">
        <v>40</v>
      </c>
      <c r="N37" s="50"/>
      <c r="O37" s="33"/>
      <c r="P37" s="33"/>
    </row>
    <row r="38" spans="1:16" s="8" customFormat="1" x14ac:dyDescent="0.3">
      <c r="A38" s="46"/>
      <c r="B38" s="44"/>
      <c r="C38" s="12" t="s">
        <v>80</v>
      </c>
      <c r="D38" s="12" t="s">
        <v>79</v>
      </c>
      <c r="E38" s="12">
        <v>5</v>
      </c>
      <c r="F38" s="46"/>
      <c r="G38" s="44"/>
      <c r="H38" s="12">
        <v>1</v>
      </c>
      <c r="I38" s="12">
        <v>4</v>
      </c>
      <c r="J38" s="12">
        <v>4</v>
      </c>
      <c r="K38" s="12">
        <v>1</v>
      </c>
      <c r="L38" s="12">
        <v>3</v>
      </c>
      <c r="M38" s="37">
        <v>20</v>
      </c>
      <c r="N38" s="50"/>
      <c r="O38" s="33"/>
      <c r="P38" s="33"/>
    </row>
    <row r="39" spans="1:16" s="8" customFormat="1" x14ac:dyDescent="0.3">
      <c r="A39" s="46"/>
      <c r="B39" s="44"/>
      <c r="C39" s="12" t="s">
        <v>82</v>
      </c>
      <c r="D39" s="12" t="s">
        <v>81</v>
      </c>
      <c r="E39" s="12">
        <v>1</v>
      </c>
      <c r="F39" s="46"/>
      <c r="G39" s="44"/>
      <c r="H39" s="12">
        <v>0</v>
      </c>
      <c r="I39" s="12">
        <v>1</v>
      </c>
      <c r="J39" s="12">
        <v>1</v>
      </c>
      <c r="K39" s="12">
        <v>0</v>
      </c>
      <c r="L39" s="12">
        <v>1</v>
      </c>
      <c r="M39" s="37">
        <v>0</v>
      </c>
      <c r="N39" s="50"/>
      <c r="O39" s="33"/>
      <c r="P39" s="33"/>
    </row>
    <row r="40" spans="1:16" s="8" customFormat="1" x14ac:dyDescent="0.3">
      <c r="A40" s="46"/>
      <c r="B40" s="44"/>
      <c r="C40" s="12" t="s">
        <v>84</v>
      </c>
      <c r="D40" s="12" t="s">
        <v>83</v>
      </c>
      <c r="E40" s="12">
        <v>2</v>
      </c>
      <c r="F40" s="46"/>
      <c r="G40" s="44"/>
      <c r="H40" s="12">
        <v>1</v>
      </c>
      <c r="I40" s="12">
        <v>1</v>
      </c>
      <c r="J40" s="12">
        <v>1</v>
      </c>
      <c r="K40" s="12">
        <v>0</v>
      </c>
      <c r="L40" s="12">
        <v>1</v>
      </c>
      <c r="M40" s="37">
        <v>50</v>
      </c>
      <c r="N40" s="50"/>
      <c r="O40" s="33"/>
      <c r="P40" s="33"/>
    </row>
    <row r="41" spans="1:16" s="8" customFormat="1" x14ac:dyDescent="0.3">
      <c r="A41" s="46"/>
      <c r="B41" s="44"/>
      <c r="C41" s="12" t="s">
        <v>86</v>
      </c>
      <c r="D41" s="12" t="s">
        <v>85</v>
      </c>
      <c r="E41" s="12">
        <v>1</v>
      </c>
      <c r="F41" s="46"/>
      <c r="G41" s="44"/>
      <c r="H41" s="12">
        <v>0</v>
      </c>
      <c r="I41" s="12">
        <v>1</v>
      </c>
      <c r="J41" s="12">
        <v>1</v>
      </c>
      <c r="K41" s="12">
        <v>0</v>
      </c>
      <c r="L41" s="12">
        <v>1</v>
      </c>
      <c r="M41" s="37">
        <v>0</v>
      </c>
      <c r="N41" s="50"/>
      <c r="O41" s="33"/>
      <c r="P41" s="33"/>
    </row>
    <row r="42" spans="1:16" s="8" customFormat="1" x14ac:dyDescent="0.3">
      <c r="A42" s="46"/>
      <c r="B42" s="44"/>
      <c r="C42" s="12" t="s">
        <v>88</v>
      </c>
      <c r="D42" s="12" t="s">
        <v>87</v>
      </c>
      <c r="E42" s="12">
        <v>3</v>
      </c>
      <c r="F42" s="46"/>
      <c r="G42" s="44"/>
      <c r="H42" s="12">
        <v>1</v>
      </c>
      <c r="I42" s="12">
        <v>2</v>
      </c>
      <c r="J42" s="12">
        <v>2</v>
      </c>
      <c r="K42" s="12">
        <v>0</v>
      </c>
      <c r="L42" s="12">
        <v>2</v>
      </c>
      <c r="M42" s="37">
        <v>33.333333333333336</v>
      </c>
      <c r="N42" s="50"/>
      <c r="O42" s="33"/>
      <c r="P42" s="33"/>
    </row>
    <row r="43" spans="1:16" s="8" customFormat="1" x14ac:dyDescent="0.3">
      <c r="A43" s="46"/>
      <c r="B43" s="44"/>
      <c r="C43" s="12" t="s">
        <v>90</v>
      </c>
      <c r="D43" s="12" t="s">
        <v>89</v>
      </c>
      <c r="E43" s="12">
        <v>1</v>
      </c>
      <c r="F43" s="46"/>
      <c r="G43" s="44"/>
      <c r="H43" s="12">
        <v>0</v>
      </c>
      <c r="I43" s="12">
        <v>1</v>
      </c>
      <c r="J43" s="12">
        <v>1</v>
      </c>
      <c r="K43" s="12">
        <v>0</v>
      </c>
      <c r="L43" s="12">
        <v>1</v>
      </c>
      <c r="M43" s="37">
        <v>0</v>
      </c>
      <c r="N43" s="50"/>
      <c r="O43" s="33"/>
      <c r="P43" s="33"/>
    </row>
    <row r="44" spans="1:16" s="8" customFormat="1" x14ac:dyDescent="0.3">
      <c r="A44" s="46"/>
      <c r="B44" s="44"/>
      <c r="C44" s="12" t="s">
        <v>92</v>
      </c>
      <c r="D44" s="12" t="s">
        <v>91</v>
      </c>
      <c r="E44" s="12">
        <v>3</v>
      </c>
      <c r="F44" s="46"/>
      <c r="G44" s="44"/>
      <c r="H44" s="12">
        <v>2</v>
      </c>
      <c r="I44" s="12">
        <v>1</v>
      </c>
      <c r="J44" s="12">
        <v>1</v>
      </c>
      <c r="K44" s="12">
        <v>0</v>
      </c>
      <c r="L44" s="12">
        <v>1</v>
      </c>
      <c r="M44" s="37">
        <v>66.666666666666671</v>
      </c>
      <c r="N44" s="50"/>
      <c r="O44" s="33"/>
      <c r="P44" s="33"/>
    </row>
    <row r="45" spans="1:16" s="8" customFormat="1" x14ac:dyDescent="0.3">
      <c r="A45" s="46"/>
      <c r="B45" s="44"/>
      <c r="C45" s="12" t="s">
        <v>94</v>
      </c>
      <c r="D45" s="12" t="s">
        <v>93</v>
      </c>
      <c r="E45" s="12">
        <v>4</v>
      </c>
      <c r="F45" s="46"/>
      <c r="G45" s="44"/>
      <c r="H45" s="12">
        <v>2</v>
      </c>
      <c r="I45" s="12">
        <v>2</v>
      </c>
      <c r="J45" s="12">
        <v>2</v>
      </c>
      <c r="K45" s="12">
        <v>0</v>
      </c>
      <c r="L45" s="12">
        <v>2</v>
      </c>
      <c r="M45" s="37">
        <v>50</v>
      </c>
      <c r="N45" s="50"/>
      <c r="O45" s="33"/>
      <c r="P45" s="33"/>
    </row>
    <row r="46" spans="1:16" s="8" customFormat="1" x14ac:dyDescent="0.3">
      <c r="A46" s="46"/>
      <c r="B46" s="44"/>
      <c r="C46" s="12" t="s">
        <v>96</v>
      </c>
      <c r="D46" s="12" t="s">
        <v>95</v>
      </c>
      <c r="E46" s="12">
        <v>2</v>
      </c>
      <c r="F46" s="46"/>
      <c r="G46" s="44"/>
      <c r="H46" s="12">
        <v>0</v>
      </c>
      <c r="I46" s="12">
        <v>2</v>
      </c>
      <c r="J46" s="12">
        <v>2</v>
      </c>
      <c r="K46" s="12">
        <v>0</v>
      </c>
      <c r="L46" s="12">
        <v>2</v>
      </c>
      <c r="M46" s="37">
        <v>0</v>
      </c>
      <c r="N46" s="50"/>
      <c r="O46" s="33"/>
      <c r="P46" s="33"/>
    </row>
    <row r="47" spans="1:16" s="8" customFormat="1" x14ac:dyDescent="0.3">
      <c r="A47" s="46"/>
      <c r="B47" s="44"/>
      <c r="C47" s="12" t="s">
        <v>97</v>
      </c>
      <c r="D47" s="12" t="s">
        <v>98</v>
      </c>
      <c r="E47" s="12">
        <v>3</v>
      </c>
      <c r="F47" s="46"/>
      <c r="G47" s="44"/>
      <c r="H47" s="12">
        <v>1</v>
      </c>
      <c r="I47" s="12">
        <v>2</v>
      </c>
      <c r="J47" s="12">
        <v>2</v>
      </c>
      <c r="K47" s="12">
        <v>0</v>
      </c>
      <c r="L47" s="12">
        <v>2</v>
      </c>
      <c r="M47" s="37">
        <v>33.333333333333336</v>
      </c>
      <c r="N47" s="50"/>
      <c r="O47" s="33"/>
      <c r="P47" s="33"/>
    </row>
    <row r="48" spans="1:16" s="8" customFormat="1" x14ac:dyDescent="0.3">
      <c r="A48" s="46"/>
      <c r="B48" s="44"/>
      <c r="C48" s="12" t="s">
        <v>100</v>
      </c>
      <c r="D48" s="12" t="s">
        <v>99</v>
      </c>
      <c r="E48" s="12">
        <v>3</v>
      </c>
      <c r="F48" s="46"/>
      <c r="G48" s="44"/>
      <c r="H48" s="12">
        <v>2</v>
      </c>
      <c r="I48" s="12">
        <v>1</v>
      </c>
      <c r="J48" s="12">
        <v>1</v>
      </c>
      <c r="K48" s="12">
        <v>0</v>
      </c>
      <c r="L48" s="12">
        <v>1</v>
      </c>
      <c r="M48" s="37">
        <v>66.666666666666671</v>
      </c>
      <c r="N48" s="50"/>
      <c r="O48" s="33"/>
      <c r="P48" s="33"/>
    </row>
    <row r="49" spans="1:16" s="8" customFormat="1" x14ac:dyDescent="0.3">
      <c r="A49" s="46"/>
      <c r="B49" s="44"/>
      <c r="C49" s="12" t="s">
        <v>102</v>
      </c>
      <c r="D49" s="12" t="s">
        <v>101</v>
      </c>
      <c r="E49" s="12">
        <v>1</v>
      </c>
      <c r="F49" s="46"/>
      <c r="G49" s="44"/>
      <c r="H49" s="12">
        <v>1</v>
      </c>
      <c r="I49" s="12">
        <v>0</v>
      </c>
      <c r="J49" s="12"/>
      <c r="K49" s="12"/>
      <c r="L49" s="12"/>
      <c r="M49" s="37">
        <v>100</v>
      </c>
      <c r="N49" s="50"/>
      <c r="O49" s="33"/>
      <c r="P49" s="33"/>
    </row>
    <row r="50" spans="1:16" s="8" customFormat="1" x14ac:dyDescent="0.3">
      <c r="A50" s="46"/>
      <c r="B50" s="44"/>
      <c r="C50" s="12" t="s">
        <v>104</v>
      </c>
      <c r="D50" s="12" t="s">
        <v>103</v>
      </c>
      <c r="E50" s="12">
        <v>6</v>
      </c>
      <c r="F50" s="46"/>
      <c r="G50" s="44"/>
      <c r="H50" s="12">
        <v>6</v>
      </c>
      <c r="I50" s="12">
        <v>0</v>
      </c>
      <c r="J50" s="12"/>
      <c r="K50" s="12"/>
      <c r="L50" s="12"/>
      <c r="M50" s="37">
        <v>100</v>
      </c>
      <c r="N50" s="50"/>
      <c r="O50" s="33"/>
      <c r="P50" s="33"/>
    </row>
    <row r="51" spans="1:16" s="8" customFormat="1" x14ac:dyDescent="0.3">
      <c r="A51" s="46"/>
      <c r="B51" s="44"/>
      <c r="C51" s="12" t="s">
        <v>106</v>
      </c>
      <c r="D51" s="12" t="s">
        <v>105</v>
      </c>
      <c r="E51" s="12">
        <v>4</v>
      </c>
      <c r="F51" s="46"/>
      <c r="G51" s="44"/>
      <c r="H51" s="12">
        <v>4</v>
      </c>
      <c r="I51" s="12">
        <v>0</v>
      </c>
      <c r="J51" s="12"/>
      <c r="K51" s="12"/>
      <c r="L51" s="12"/>
      <c r="M51" s="37">
        <v>100</v>
      </c>
      <c r="N51" s="50"/>
      <c r="O51" s="33"/>
      <c r="P51" s="33"/>
    </row>
    <row r="52" spans="1:16" s="8" customFormat="1" x14ac:dyDescent="0.3">
      <c r="A52" s="46"/>
      <c r="B52" s="44"/>
      <c r="C52" s="12" t="s">
        <v>107</v>
      </c>
      <c r="D52" s="12" t="s">
        <v>108</v>
      </c>
      <c r="E52" s="12">
        <v>2</v>
      </c>
      <c r="F52" s="46"/>
      <c r="G52" s="44"/>
      <c r="H52" s="12">
        <v>1</v>
      </c>
      <c r="I52" s="12">
        <v>1</v>
      </c>
      <c r="J52" s="12">
        <v>1</v>
      </c>
      <c r="K52" s="12">
        <v>1</v>
      </c>
      <c r="L52" s="12">
        <v>0</v>
      </c>
      <c r="M52" s="37">
        <v>50</v>
      </c>
      <c r="N52" s="50"/>
      <c r="O52" s="33"/>
      <c r="P52" s="33"/>
    </row>
    <row r="53" spans="1:16" s="8" customFormat="1" x14ac:dyDescent="0.3">
      <c r="A53" s="46"/>
      <c r="B53" s="44"/>
      <c r="C53" s="12" t="s">
        <v>110</v>
      </c>
      <c r="D53" s="12" t="s">
        <v>109</v>
      </c>
      <c r="E53" s="12">
        <v>2</v>
      </c>
      <c r="F53" s="46"/>
      <c r="G53" s="44"/>
      <c r="H53" s="12">
        <v>2</v>
      </c>
      <c r="I53" s="12">
        <v>0</v>
      </c>
      <c r="J53" s="12"/>
      <c r="K53" s="12"/>
      <c r="L53" s="12"/>
      <c r="M53" s="37">
        <v>100</v>
      </c>
      <c r="N53" s="50"/>
      <c r="O53" s="33"/>
      <c r="P53" s="33"/>
    </row>
    <row r="54" spans="1:16" s="8" customFormat="1" x14ac:dyDescent="0.3">
      <c r="A54" s="46"/>
      <c r="B54" s="44"/>
      <c r="C54" s="12" t="s">
        <v>111</v>
      </c>
      <c r="D54" s="12" t="s">
        <v>112</v>
      </c>
      <c r="E54" s="12">
        <v>1</v>
      </c>
      <c r="F54" s="46"/>
      <c r="G54" s="44"/>
      <c r="H54" s="12">
        <v>1</v>
      </c>
      <c r="I54" s="12">
        <v>0</v>
      </c>
      <c r="J54" s="12"/>
      <c r="K54" s="12"/>
      <c r="L54" s="12"/>
      <c r="M54" s="37">
        <v>100</v>
      </c>
      <c r="N54" s="51"/>
      <c r="O54" s="33"/>
      <c r="P54" s="33"/>
    </row>
    <row r="55" spans="1:16" s="8" customFormat="1" x14ac:dyDescent="0.3">
      <c r="A55" s="52">
        <v>9</v>
      </c>
      <c r="B55" s="20" t="s">
        <v>9</v>
      </c>
      <c r="C55" s="13" t="s">
        <v>134</v>
      </c>
      <c r="D55" s="13" t="s">
        <v>138</v>
      </c>
      <c r="E55" s="13">
        <v>5</v>
      </c>
      <c r="F55" s="52">
        <v>20</v>
      </c>
      <c r="G55" s="52" t="s">
        <v>14</v>
      </c>
      <c r="H55" s="13">
        <v>5</v>
      </c>
      <c r="I55" s="13">
        <v>0</v>
      </c>
      <c r="J55" s="13"/>
      <c r="K55" s="13"/>
      <c r="L55" s="13"/>
      <c r="M55" s="26">
        <v>0</v>
      </c>
      <c r="N55" s="54">
        <v>95</v>
      </c>
      <c r="O55" s="33">
        <f>SUM(H55:H58)*100/F55</f>
        <v>95</v>
      </c>
      <c r="P55" s="33"/>
    </row>
    <row r="56" spans="1:16" s="8" customFormat="1" x14ac:dyDescent="0.3">
      <c r="A56" s="53"/>
      <c r="B56" s="20"/>
      <c r="C56" s="13" t="s">
        <v>135</v>
      </c>
      <c r="D56" s="13" t="s">
        <v>28</v>
      </c>
      <c r="E56" s="13">
        <v>5</v>
      </c>
      <c r="F56" s="53"/>
      <c r="G56" s="53"/>
      <c r="H56" s="13">
        <v>5</v>
      </c>
      <c r="I56" s="13">
        <v>0</v>
      </c>
      <c r="J56" s="13"/>
      <c r="K56" s="13"/>
      <c r="L56" s="13"/>
      <c r="M56" s="26">
        <v>0</v>
      </c>
      <c r="N56" s="55"/>
      <c r="O56" s="33"/>
      <c r="P56" s="33"/>
    </row>
    <row r="57" spans="1:16" s="8" customFormat="1" x14ac:dyDescent="0.3">
      <c r="A57" s="53"/>
      <c r="B57" s="20"/>
      <c r="C57" s="13" t="s">
        <v>136</v>
      </c>
      <c r="D57" s="13" t="s">
        <v>139</v>
      </c>
      <c r="E57" s="13">
        <v>5</v>
      </c>
      <c r="F57" s="53"/>
      <c r="G57" s="53"/>
      <c r="H57" s="13">
        <v>4</v>
      </c>
      <c r="I57" s="13">
        <v>1</v>
      </c>
      <c r="J57" s="13"/>
      <c r="K57" s="13">
        <v>1</v>
      </c>
      <c r="L57" s="13">
        <v>0</v>
      </c>
      <c r="M57" s="26">
        <v>0</v>
      </c>
      <c r="N57" s="55"/>
      <c r="O57" s="33"/>
      <c r="P57" s="33"/>
    </row>
    <row r="58" spans="1:16" s="8" customFormat="1" x14ac:dyDescent="0.3">
      <c r="A58" s="53"/>
      <c r="B58" s="35"/>
      <c r="C58" s="36" t="s">
        <v>137</v>
      </c>
      <c r="D58" s="36" t="s">
        <v>140</v>
      </c>
      <c r="E58" s="36">
        <v>5</v>
      </c>
      <c r="F58" s="53"/>
      <c r="G58" s="53"/>
      <c r="H58" s="36">
        <v>5</v>
      </c>
      <c r="I58" s="36">
        <v>0</v>
      </c>
      <c r="J58" s="36"/>
      <c r="K58" s="13"/>
      <c r="L58" s="13"/>
      <c r="M58" s="30">
        <v>0</v>
      </c>
      <c r="N58" s="55"/>
      <c r="O58" s="33"/>
      <c r="P58" s="33"/>
    </row>
    <row r="59" spans="1:16" s="8" customFormat="1" x14ac:dyDescent="0.3">
      <c r="A59" s="46">
        <v>10</v>
      </c>
      <c r="B59" s="19" t="s">
        <v>120</v>
      </c>
      <c r="C59" s="12" t="s">
        <v>127</v>
      </c>
      <c r="D59" s="12" t="s">
        <v>121</v>
      </c>
      <c r="E59" s="12">
        <v>6</v>
      </c>
      <c r="F59" s="12">
        <v>6</v>
      </c>
      <c r="G59" s="19" t="s">
        <v>15</v>
      </c>
      <c r="H59" s="12">
        <v>6</v>
      </c>
      <c r="I59" s="12">
        <v>0</v>
      </c>
      <c r="J59" s="12"/>
      <c r="K59" s="12"/>
      <c r="L59" s="12"/>
      <c r="M59" s="37">
        <v>100</v>
      </c>
      <c r="N59" s="49">
        <v>100</v>
      </c>
      <c r="O59" s="33"/>
      <c r="P59" s="33"/>
    </row>
    <row r="60" spans="1:16" s="8" customFormat="1" x14ac:dyDescent="0.3">
      <c r="A60" s="46"/>
      <c r="B60" s="19"/>
      <c r="C60" s="12" t="s">
        <v>126</v>
      </c>
      <c r="D60" s="12" t="s">
        <v>122</v>
      </c>
      <c r="E60" s="12">
        <v>6</v>
      </c>
      <c r="F60" s="12">
        <v>6</v>
      </c>
      <c r="G60" s="19" t="s">
        <v>16</v>
      </c>
      <c r="H60" s="12">
        <v>6</v>
      </c>
      <c r="I60" s="12">
        <v>0</v>
      </c>
      <c r="J60" s="12"/>
      <c r="K60" s="12"/>
      <c r="L60" s="12"/>
      <c r="M60" s="37">
        <v>100</v>
      </c>
      <c r="N60" s="50"/>
      <c r="O60" s="33"/>
      <c r="P60" s="33"/>
    </row>
    <row r="61" spans="1:16" s="8" customFormat="1" x14ac:dyDescent="0.3">
      <c r="A61" s="46"/>
      <c r="B61" s="19"/>
      <c r="C61" s="12" t="s">
        <v>125</v>
      </c>
      <c r="D61" s="12" t="s">
        <v>123</v>
      </c>
      <c r="E61" s="12">
        <v>6</v>
      </c>
      <c r="F61" s="12">
        <v>6</v>
      </c>
      <c r="G61" s="19" t="s">
        <v>13</v>
      </c>
      <c r="H61" s="12">
        <v>6</v>
      </c>
      <c r="I61" s="12">
        <v>0</v>
      </c>
      <c r="J61" s="12"/>
      <c r="K61" s="12"/>
      <c r="L61" s="12"/>
      <c r="M61" s="37">
        <v>100</v>
      </c>
      <c r="N61" s="50"/>
      <c r="O61" s="33"/>
      <c r="P61" s="33"/>
    </row>
    <row r="62" spans="1:16" s="8" customFormat="1" x14ac:dyDescent="0.3">
      <c r="A62" s="46"/>
      <c r="B62" s="19"/>
      <c r="C62" s="12" t="s">
        <v>128</v>
      </c>
      <c r="D62" s="12" t="s">
        <v>124</v>
      </c>
      <c r="E62" s="12">
        <v>6</v>
      </c>
      <c r="F62" s="12">
        <v>6</v>
      </c>
      <c r="G62" s="19" t="s">
        <v>14</v>
      </c>
      <c r="H62" s="12">
        <v>6</v>
      </c>
      <c r="I62" s="12">
        <v>0</v>
      </c>
      <c r="J62" s="12"/>
      <c r="K62" s="12"/>
      <c r="L62" s="12"/>
      <c r="M62" s="37">
        <v>100</v>
      </c>
      <c r="N62" s="51"/>
      <c r="O62" s="33"/>
      <c r="P62" s="33"/>
    </row>
    <row r="63" spans="1:16" s="8" customFormat="1" x14ac:dyDescent="0.3">
      <c r="A63" s="22"/>
      <c r="B63" s="21"/>
      <c r="G63" s="21"/>
      <c r="M63" s="23"/>
      <c r="N63" s="27"/>
      <c r="O63" s="27"/>
      <c r="P63" s="27"/>
    </row>
    <row r="64" spans="1:16" s="8" customFormat="1" x14ac:dyDescent="0.3">
      <c r="A64" s="22"/>
      <c r="B64" s="21"/>
      <c r="G64" s="21"/>
      <c r="M64" s="23"/>
      <c r="N64" s="27"/>
      <c r="O64" s="27"/>
      <c r="P64" s="27"/>
    </row>
    <row r="65" spans="1:16" s="8" customFormat="1" x14ac:dyDescent="0.3">
      <c r="A65" s="22"/>
      <c r="B65" s="21"/>
      <c r="G65" s="21"/>
      <c r="M65" s="23"/>
      <c r="N65" s="27"/>
      <c r="O65" s="27"/>
      <c r="P65" s="27"/>
    </row>
    <row r="66" spans="1:16" s="8" customFormat="1" x14ac:dyDescent="0.3">
      <c r="A66" s="22"/>
      <c r="B66" s="21"/>
      <c r="G66" s="21"/>
      <c r="M66" s="23"/>
      <c r="N66" s="27"/>
      <c r="O66" s="27"/>
      <c r="P66" s="27"/>
    </row>
    <row r="67" spans="1:16" s="8" customFormat="1" x14ac:dyDescent="0.3">
      <c r="A67" s="22"/>
      <c r="B67" s="21"/>
      <c r="G67" s="21"/>
      <c r="M67" s="23"/>
      <c r="N67" s="27"/>
      <c r="O67" s="27"/>
      <c r="P67" s="27"/>
    </row>
    <row r="68" spans="1:16" s="8" customFormat="1" x14ac:dyDescent="0.3">
      <c r="A68" s="22"/>
      <c r="B68" s="21"/>
      <c r="G68" s="21"/>
      <c r="M68" s="23"/>
      <c r="N68" s="27"/>
      <c r="O68" s="27"/>
      <c r="P68" s="27"/>
    </row>
    <row r="69" spans="1:16" s="8" customFormat="1" x14ac:dyDescent="0.3">
      <c r="A69" s="22"/>
      <c r="B69" s="21"/>
      <c r="G69" s="21"/>
      <c r="M69" s="23"/>
      <c r="N69" s="27"/>
      <c r="O69" s="27"/>
      <c r="P69" s="27"/>
    </row>
    <row r="70" spans="1:16" s="8" customFormat="1" x14ac:dyDescent="0.3">
      <c r="A70" s="22"/>
      <c r="B70" s="21"/>
      <c r="G70" s="21"/>
      <c r="M70" s="23"/>
      <c r="N70" s="27"/>
      <c r="O70" s="27"/>
      <c r="P70" s="27"/>
    </row>
    <row r="71" spans="1:16" s="8" customFormat="1" x14ac:dyDescent="0.3">
      <c r="A71" s="22"/>
      <c r="B71" s="21"/>
      <c r="G71" s="21"/>
      <c r="M71" s="23"/>
      <c r="N71" s="27"/>
      <c r="O71" s="27"/>
      <c r="P71" s="27"/>
    </row>
    <row r="72" spans="1:16" s="8" customFormat="1" x14ac:dyDescent="0.3">
      <c r="A72" s="22"/>
      <c r="B72" s="21"/>
      <c r="G72" s="21"/>
      <c r="M72" s="23"/>
      <c r="N72" s="27"/>
      <c r="O72" s="27"/>
      <c r="P72" s="27"/>
    </row>
    <row r="73" spans="1:16" s="8" customFormat="1" x14ac:dyDescent="0.3">
      <c r="A73" s="22"/>
      <c r="B73" s="21"/>
      <c r="G73" s="21"/>
      <c r="M73" s="23"/>
      <c r="N73" s="27"/>
      <c r="O73" s="27"/>
      <c r="P73" s="27"/>
    </row>
    <row r="74" spans="1:16" s="8" customFormat="1" x14ac:dyDescent="0.3">
      <c r="A74" s="22"/>
      <c r="B74" s="21"/>
      <c r="G74" s="21"/>
      <c r="M74" s="23"/>
      <c r="N74" s="27"/>
      <c r="O74" s="27"/>
      <c r="P74" s="27"/>
    </row>
    <row r="75" spans="1:16" s="8" customFormat="1" x14ac:dyDescent="0.3">
      <c r="A75" s="22"/>
      <c r="B75" s="21"/>
      <c r="G75" s="21"/>
      <c r="M75" s="23"/>
      <c r="N75" s="27"/>
      <c r="O75" s="27"/>
      <c r="P75" s="27"/>
    </row>
    <row r="76" spans="1:16" s="8" customFormat="1" x14ac:dyDescent="0.3">
      <c r="A76" s="22"/>
      <c r="B76" s="21"/>
      <c r="G76" s="21"/>
      <c r="M76" s="23"/>
      <c r="N76" s="27"/>
      <c r="O76" s="27"/>
      <c r="P76" s="27"/>
    </row>
    <row r="77" spans="1:16" s="8" customFormat="1" x14ac:dyDescent="0.3">
      <c r="A77" s="22"/>
      <c r="B77" s="21"/>
      <c r="G77" s="21"/>
      <c r="M77" s="23"/>
      <c r="N77" s="27"/>
      <c r="O77" s="27"/>
      <c r="P77" s="27"/>
    </row>
    <row r="78" spans="1:16" s="8" customFormat="1" x14ac:dyDescent="0.3">
      <c r="A78" s="22"/>
      <c r="B78" s="21"/>
      <c r="G78" s="21"/>
      <c r="M78" s="23"/>
      <c r="N78" s="27"/>
      <c r="O78" s="27"/>
      <c r="P78" s="27"/>
    </row>
    <row r="79" spans="1:16" s="8" customFormat="1" x14ac:dyDescent="0.3">
      <c r="A79" s="22"/>
      <c r="B79" s="21"/>
      <c r="G79" s="21"/>
      <c r="M79" s="23"/>
      <c r="N79" s="27"/>
      <c r="O79" s="27"/>
      <c r="P79" s="27"/>
    </row>
    <row r="80" spans="1:16" s="8" customFormat="1" x14ac:dyDescent="0.3">
      <c r="A80" s="22"/>
      <c r="B80" s="21"/>
      <c r="G80" s="21"/>
      <c r="M80" s="23"/>
      <c r="N80" s="27"/>
      <c r="O80" s="27"/>
      <c r="P80" s="27"/>
    </row>
    <row r="81" spans="1:16" s="8" customFormat="1" x14ac:dyDescent="0.3">
      <c r="A81" s="22"/>
      <c r="B81" s="21"/>
      <c r="G81" s="21"/>
      <c r="M81" s="23"/>
      <c r="N81" s="27"/>
      <c r="O81" s="27"/>
      <c r="P81" s="27"/>
    </row>
    <row r="82" spans="1:16" s="8" customFormat="1" x14ac:dyDescent="0.3">
      <c r="A82" s="22"/>
      <c r="B82" s="21"/>
      <c r="G82" s="21"/>
      <c r="M82" s="23"/>
      <c r="N82" s="27"/>
      <c r="O82" s="27"/>
      <c r="P82" s="27"/>
    </row>
    <row r="83" spans="1:16" s="8" customFormat="1" x14ac:dyDescent="0.3">
      <c r="A83" s="22"/>
      <c r="B83" s="21"/>
      <c r="G83" s="21"/>
      <c r="M83" s="23"/>
      <c r="N83" s="27"/>
      <c r="O83" s="27"/>
      <c r="P83" s="27"/>
    </row>
    <row r="84" spans="1:16" s="8" customFormat="1" x14ac:dyDescent="0.3">
      <c r="A84" s="22"/>
      <c r="B84" s="21"/>
      <c r="G84" s="21"/>
      <c r="M84" s="23"/>
      <c r="N84" s="27"/>
      <c r="O84" s="27"/>
      <c r="P84" s="27"/>
    </row>
    <row r="85" spans="1:16" s="8" customFormat="1" x14ac:dyDescent="0.3">
      <c r="A85" s="22"/>
      <c r="B85" s="21"/>
      <c r="G85" s="21"/>
      <c r="M85" s="23"/>
      <c r="N85" s="27"/>
      <c r="O85" s="27"/>
      <c r="P85" s="27"/>
    </row>
    <row r="86" spans="1:16" s="8" customFormat="1" x14ac:dyDescent="0.3">
      <c r="A86" s="22"/>
      <c r="B86" s="21"/>
      <c r="G86" s="21"/>
      <c r="M86" s="23"/>
      <c r="N86" s="27"/>
      <c r="O86" s="27"/>
      <c r="P86" s="27"/>
    </row>
    <row r="87" spans="1:16" s="8" customFormat="1" x14ac:dyDescent="0.3">
      <c r="A87" s="22"/>
      <c r="B87" s="21"/>
      <c r="G87" s="21"/>
      <c r="M87" s="23"/>
      <c r="N87" s="27"/>
      <c r="O87" s="27"/>
      <c r="P87" s="27"/>
    </row>
    <row r="88" spans="1:16" s="8" customFormat="1" x14ac:dyDescent="0.3">
      <c r="A88" s="22"/>
      <c r="B88" s="21"/>
      <c r="G88" s="21"/>
      <c r="M88" s="23"/>
      <c r="N88" s="27"/>
      <c r="O88" s="27"/>
      <c r="P88" s="27"/>
    </row>
    <row r="89" spans="1:16" s="8" customFormat="1" x14ac:dyDescent="0.3">
      <c r="A89" s="22"/>
      <c r="B89" s="21"/>
      <c r="G89" s="21"/>
      <c r="M89" s="23"/>
      <c r="N89" s="27"/>
      <c r="O89" s="27"/>
      <c r="P89" s="27"/>
    </row>
    <row r="90" spans="1:16" s="8" customFormat="1" x14ac:dyDescent="0.3">
      <c r="A90" s="22"/>
      <c r="B90" s="21"/>
      <c r="G90" s="21"/>
      <c r="M90" s="23"/>
      <c r="N90" s="27"/>
      <c r="O90" s="27"/>
      <c r="P90" s="27"/>
    </row>
    <row r="91" spans="1:16" s="8" customFormat="1" x14ac:dyDescent="0.3">
      <c r="A91" s="22"/>
      <c r="B91" s="21"/>
      <c r="G91" s="21"/>
      <c r="M91" s="23"/>
      <c r="N91" s="27"/>
      <c r="O91" s="27"/>
      <c r="P91" s="27"/>
    </row>
    <row r="92" spans="1:16" s="8" customFormat="1" x14ac:dyDescent="0.3">
      <c r="A92" s="22"/>
      <c r="B92" s="21"/>
      <c r="G92" s="21"/>
      <c r="M92" s="23"/>
      <c r="N92" s="27"/>
      <c r="O92" s="27"/>
      <c r="P92" s="27"/>
    </row>
    <row r="93" spans="1:16" s="8" customFormat="1" x14ac:dyDescent="0.3">
      <c r="A93" s="22"/>
      <c r="B93" s="21"/>
      <c r="G93" s="21"/>
      <c r="M93" s="23"/>
      <c r="N93" s="27"/>
      <c r="O93" s="27"/>
      <c r="P93" s="27"/>
    </row>
    <row r="94" spans="1:16" s="8" customFormat="1" x14ac:dyDescent="0.3">
      <c r="A94" s="22"/>
      <c r="B94" s="21"/>
      <c r="G94" s="21"/>
      <c r="M94" s="23"/>
      <c r="N94" s="27"/>
      <c r="O94" s="27"/>
      <c r="P94" s="27"/>
    </row>
    <row r="95" spans="1:16" s="8" customFormat="1" x14ac:dyDescent="0.3">
      <c r="A95" s="22"/>
      <c r="B95" s="21"/>
      <c r="G95" s="21"/>
      <c r="M95" s="23"/>
      <c r="N95" s="27"/>
      <c r="O95" s="27"/>
      <c r="P95" s="27"/>
    </row>
    <row r="96" spans="1:16" s="8" customFormat="1" x14ac:dyDescent="0.3">
      <c r="A96" s="22"/>
      <c r="B96" s="21"/>
      <c r="G96" s="21"/>
      <c r="M96" s="23"/>
      <c r="N96" s="27"/>
      <c r="O96" s="27"/>
      <c r="P96" s="27"/>
    </row>
    <row r="97" spans="1:16" s="8" customFormat="1" x14ac:dyDescent="0.3">
      <c r="A97" s="22"/>
      <c r="B97" s="21"/>
      <c r="G97" s="21"/>
      <c r="M97" s="23"/>
      <c r="N97" s="27"/>
      <c r="O97" s="27"/>
      <c r="P97" s="27"/>
    </row>
    <row r="98" spans="1:16" s="8" customFormat="1" x14ac:dyDescent="0.3">
      <c r="A98" s="22"/>
      <c r="B98" s="21"/>
      <c r="G98" s="21"/>
      <c r="M98" s="23"/>
      <c r="N98" s="27"/>
      <c r="O98" s="27"/>
      <c r="P98" s="27"/>
    </row>
    <row r="99" spans="1:16" s="8" customFormat="1" x14ac:dyDescent="0.3">
      <c r="A99" s="22"/>
      <c r="B99" s="21"/>
      <c r="G99" s="21"/>
      <c r="M99" s="23"/>
      <c r="N99" s="27"/>
      <c r="O99" s="27"/>
      <c r="P99" s="27"/>
    </row>
    <row r="100" spans="1:16" s="8" customFormat="1" x14ac:dyDescent="0.3">
      <c r="A100" s="22"/>
      <c r="B100" s="21"/>
      <c r="G100" s="21"/>
      <c r="M100" s="23"/>
      <c r="N100" s="27"/>
      <c r="O100" s="27"/>
      <c r="P100" s="27"/>
    </row>
    <row r="101" spans="1:16" s="8" customFormat="1" x14ac:dyDescent="0.3">
      <c r="A101" s="22"/>
      <c r="B101" s="21"/>
      <c r="G101" s="21"/>
      <c r="M101" s="23"/>
      <c r="N101" s="27"/>
      <c r="O101" s="27"/>
      <c r="P101" s="27"/>
    </row>
    <row r="102" spans="1:16" s="8" customFormat="1" x14ac:dyDescent="0.3">
      <c r="A102" s="22"/>
      <c r="B102" s="21"/>
      <c r="G102" s="21"/>
      <c r="M102" s="23"/>
      <c r="N102" s="27"/>
      <c r="O102" s="27"/>
      <c r="P102" s="27"/>
    </row>
    <row r="103" spans="1:16" s="8" customFormat="1" x14ac:dyDescent="0.3">
      <c r="A103" s="22"/>
      <c r="B103" s="21"/>
      <c r="G103" s="21"/>
      <c r="M103" s="23"/>
      <c r="N103" s="27"/>
      <c r="O103" s="27"/>
      <c r="P103" s="27"/>
    </row>
    <row r="104" spans="1:16" s="8" customFormat="1" x14ac:dyDescent="0.3">
      <c r="A104" s="22"/>
      <c r="B104" s="21"/>
      <c r="G104" s="21"/>
      <c r="M104" s="23"/>
      <c r="N104" s="27"/>
      <c r="O104" s="27"/>
      <c r="P104" s="27"/>
    </row>
    <row r="105" spans="1:16" s="8" customFormat="1" x14ac:dyDescent="0.3">
      <c r="A105" s="22"/>
      <c r="B105" s="21"/>
      <c r="G105" s="21"/>
      <c r="M105" s="23"/>
      <c r="N105" s="27"/>
      <c r="O105" s="27"/>
      <c r="P105" s="27"/>
    </row>
    <row r="106" spans="1:16" s="8" customFormat="1" x14ac:dyDescent="0.3">
      <c r="A106" s="22"/>
      <c r="B106" s="21"/>
      <c r="G106" s="21"/>
      <c r="M106" s="23"/>
      <c r="N106" s="27"/>
      <c r="O106" s="27"/>
      <c r="P106" s="27"/>
    </row>
    <row r="107" spans="1:16" s="8" customFormat="1" x14ac:dyDescent="0.3">
      <c r="A107" s="22"/>
      <c r="B107" s="21"/>
      <c r="G107" s="21"/>
      <c r="M107" s="23"/>
      <c r="N107" s="27"/>
      <c r="O107" s="27"/>
      <c r="P107" s="27"/>
    </row>
    <row r="108" spans="1:16" s="8" customFormat="1" x14ac:dyDescent="0.3">
      <c r="A108" s="22"/>
      <c r="B108" s="21"/>
      <c r="G108" s="21"/>
      <c r="M108" s="23"/>
      <c r="N108" s="27"/>
      <c r="O108" s="27"/>
      <c r="P108" s="27"/>
    </row>
    <row r="109" spans="1:16" s="8" customFormat="1" x14ac:dyDescent="0.3">
      <c r="A109" s="22"/>
      <c r="B109" s="21"/>
      <c r="G109" s="21"/>
      <c r="M109" s="23"/>
      <c r="N109" s="27"/>
      <c r="O109" s="27"/>
      <c r="P109" s="27"/>
    </row>
    <row r="110" spans="1:16" s="8" customFormat="1" x14ac:dyDescent="0.3">
      <c r="A110" s="22"/>
      <c r="B110" s="21"/>
      <c r="G110" s="21"/>
      <c r="M110" s="23"/>
      <c r="N110" s="27"/>
      <c r="O110" s="27"/>
      <c r="P110" s="27"/>
    </row>
    <row r="111" spans="1:16" s="8" customFormat="1" x14ac:dyDescent="0.3">
      <c r="A111" s="22"/>
      <c r="B111" s="21"/>
      <c r="G111" s="21"/>
      <c r="M111" s="23"/>
      <c r="N111" s="27"/>
      <c r="O111" s="27"/>
      <c r="P111" s="27"/>
    </row>
    <row r="112" spans="1:16" s="8" customFormat="1" x14ac:dyDescent="0.3">
      <c r="A112" s="22"/>
      <c r="B112" s="21"/>
      <c r="G112" s="21"/>
      <c r="M112" s="23"/>
      <c r="N112" s="27"/>
      <c r="O112" s="27"/>
      <c r="P112" s="27"/>
    </row>
    <row r="113" spans="1:16" s="8" customFormat="1" x14ac:dyDescent="0.3">
      <c r="A113" s="22"/>
      <c r="B113" s="21"/>
      <c r="G113" s="21"/>
      <c r="M113" s="23"/>
      <c r="N113" s="27"/>
      <c r="O113" s="27"/>
      <c r="P113" s="27"/>
    </row>
    <row r="114" spans="1:16" s="8" customFormat="1" x14ac:dyDescent="0.3">
      <c r="A114" s="22"/>
      <c r="B114" s="21"/>
      <c r="G114" s="21"/>
      <c r="M114" s="23"/>
      <c r="N114" s="27"/>
      <c r="O114" s="27"/>
      <c r="P114" s="27"/>
    </row>
    <row r="115" spans="1:16" s="8" customFormat="1" x14ac:dyDescent="0.3">
      <c r="A115" s="22"/>
      <c r="B115" s="21"/>
      <c r="G115" s="21"/>
      <c r="M115" s="23"/>
      <c r="N115" s="27"/>
      <c r="O115" s="27"/>
      <c r="P115" s="27"/>
    </row>
    <row r="116" spans="1:16" s="8" customFormat="1" x14ac:dyDescent="0.3">
      <c r="A116" s="22"/>
      <c r="B116" s="21"/>
      <c r="G116" s="21"/>
      <c r="M116" s="23"/>
      <c r="N116" s="27"/>
      <c r="O116" s="27"/>
      <c r="P116" s="27"/>
    </row>
    <row r="117" spans="1:16" s="8" customFormat="1" x14ac:dyDescent="0.3">
      <c r="A117" s="22"/>
      <c r="B117" s="21"/>
      <c r="G117" s="21"/>
      <c r="M117" s="23"/>
      <c r="N117" s="27"/>
      <c r="O117" s="27"/>
      <c r="P117" s="27"/>
    </row>
  </sheetData>
  <mergeCells count="23">
    <mergeCell ref="Q1:S1"/>
    <mergeCell ref="N59:N62"/>
    <mergeCell ref="A59:A62"/>
    <mergeCell ref="F55:F58"/>
    <mergeCell ref="A55:A58"/>
    <mergeCell ref="G55:G58"/>
    <mergeCell ref="M1:N1"/>
    <mergeCell ref="N2:N5"/>
    <mergeCell ref="N6:N21"/>
    <mergeCell ref="N27:N54"/>
    <mergeCell ref="N55:N58"/>
    <mergeCell ref="A27:A54"/>
    <mergeCell ref="A2:A5"/>
    <mergeCell ref="A6:A21"/>
    <mergeCell ref="G2:G5"/>
    <mergeCell ref="G6:G21"/>
    <mergeCell ref="G27:G54"/>
    <mergeCell ref="F2:F5"/>
    <mergeCell ref="F6:F21"/>
    <mergeCell ref="F27:F54"/>
    <mergeCell ref="B2:B5"/>
    <mergeCell ref="B6:B21"/>
    <mergeCell ref="B27:B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E2140-DBAD-174C-ABFB-B954BE8EE60C}">
  <dimension ref="A1:S55"/>
  <sheetViews>
    <sheetView topLeftCell="M1" workbookViewId="0">
      <selection activeCell="Q21" sqref="Q21"/>
    </sheetView>
  </sheetViews>
  <sheetFormatPr baseColWidth="10" defaultRowHeight="24" x14ac:dyDescent="0.3"/>
  <cols>
    <col min="1" max="1" width="5" style="1" hidden="1" customWidth="1"/>
    <col min="2" max="2" width="34.6640625" style="1" hidden="1" customWidth="1"/>
    <col min="3" max="3" width="19" style="1" hidden="1" customWidth="1"/>
    <col min="4" max="4" width="23.1640625" style="1" hidden="1" customWidth="1"/>
    <col min="5" max="5" width="19.6640625" style="1" hidden="1" customWidth="1"/>
    <col min="6" max="6" width="11.6640625" style="1" hidden="1" customWidth="1"/>
    <col min="7" max="7" width="13.5" style="1" hidden="1" customWidth="1"/>
    <col min="8" max="12" width="0" style="1" hidden="1" customWidth="1"/>
    <col min="13" max="13" width="10.83203125" style="1"/>
    <col min="14" max="14" width="25.83203125" style="1" bestFit="1" customWidth="1"/>
    <col min="15" max="15" width="19.6640625" style="1" bestFit="1" customWidth="1"/>
    <col min="16" max="16" width="13.5" style="1" bestFit="1" customWidth="1"/>
    <col min="17" max="17" width="22.6640625" style="1" bestFit="1" customWidth="1"/>
    <col min="18" max="18" width="21.33203125" style="1" bestFit="1" customWidth="1"/>
    <col min="19" max="19" width="18.1640625" style="24" bestFit="1" customWidth="1"/>
    <col min="20" max="16384" width="10.83203125" style="1"/>
  </cols>
  <sheetData>
    <row r="1" spans="1:19" s="9" customFormat="1" x14ac:dyDescent="0.3">
      <c r="A1" s="39" t="s">
        <v>3</v>
      </c>
      <c r="B1" s="39"/>
      <c r="C1" s="39" t="s">
        <v>18</v>
      </c>
      <c r="D1" s="39" t="s">
        <v>0</v>
      </c>
      <c r="E1" s="39" t="s">
        <v>1</v>
      </c>
      <c r="F1" s="39" t="s">
        <v>21</v>
      </c>
      <c r="G1" s="40" t="s">
        <v>2</v>
      </c>
      <c r="M1" s="25" t="s">
        <v>3</v>
      </c>
      <c r="N1" s="25" t="s">
        <v>0</v>
      </c>
      <c r="O1" s="25" t="s">
        <v>1</v>
      </c>
      <c r="P1" s="25" t="s">
        <v>2</v>
      </c>
      <c r="Q1" s="25" t="s">
        <v>117</v>
      </c>
      <c r="R1" s="25" t="s">
        <v>118</v>
      </c>
      <c r="S1" s="41" t="s">
        <v>146</v>
      </c>
    </row>
    <row r="2" spans="1:19" x14ac:dyDescent="0.3">
      <c r="A2" s="1">
        <v>1</v>
      </c>
      <c r="B2" s="1" t="s">
        <v>19</v>
      </c>
      <c r="C2" s="1" t="s">
        <v>34</v>
      </c>
      <c r="D2" s="1" t="s">
        <v>4</v>
      </c>
      <c r="E2" s="1">
        <v>24</v>
      </c>
      <c r="F2" s="1">
        <v>27</v>
      </c>
      <c r="G2" s="5" t="s">
        <v>13</v>
      </c>
      <c r="M2" s="10">
        <v>1</v>
      </c>
      <c r="N2" s="10" t="s">
        <v>4</v>
      </c>
      <c r="O2" s="10">
        <v>27</v>
      </c>
      <c r="P2" s="10" t="s">
        <v>13</v>
      </c>
      <c r="Q2" s="10">
        <v>25</v>
      </c>
      <c r="R2" s="10">
        <v>2</v>
      </c>
      <c r="S2" s="42">
        <v>92.592592592592595</v>
      </c>
    </row>
    <row r="3" spans="1:19" x14ac:dyDescent="0.3">
      <c r="B3" s="1" t="s">
        <v>20</v>
      </c>
      <c r="C3" s="1" t="s">
        <v>48</v>
      </c>
      <c r="D3" s="1" t="s">
        <v>4</v>
      </c>
      <c r="E3" s="1">
        <v>10</v>
      </c>
      <c r="G3" s="5"/>
      <c r="M3" s="12">
        <v>2</v>
      </c>
      <c r="N3" s="12" t="s">
        <v>5</v>
      </c>
      <c r="O3" s="12">
        <v>124</v>
      </c>
      <c r="P3" s="12" t="s">
        <v>13</v>
      </c>
      <c r="Q3" s="12">
        <v>117</v>
      </c>
      <c r="R3" s="12">
        <v>7</v>
      </c>
      <c r="S3" s="37">
        <v>94.354838709677423</v>
      </c>
    </row>
    <row r="4" spans="1:19" x14ac:dyDescent="0.3">
      <c r="B4" s="1" t="s">
        <v>51</v>
      </c>
      <c r="C4" s="1" t="s">
        <v>35</v>
      </c>
      <c r="D4" s="1" t="s">
        <v>4</v>
      </c>
      <c r="E4" s="1">
        <v>13</v>
      </c>
      <c r="G4" s="5"/>
      <c r="M4" s="10">
        <v>3</v>
      </c>
      <c r="N4" s="10" t="s">
        <v>6</v>
      </c>
      <c r="O4" s="10">
        <v>25</v>
      </c>
      <c r="P4" s="10" t="s">
        <v>14</v>
      </c>
      <c r="Q4" s="10">
        <v>20</v>
      </c>
      <c r="R4" s="10">
        <v>5</v>
      </c>
      <c r="S4" s="42">
        <v>80</v>
      </c>
    </row>
    <row r="5" spans="1:19" x14ac:dyDescent="0.3">
      <c r="A5" s="3"/>
      <c r="B5" s="3" t="s">
        <v>59</v>
      </c>
      <c r="C5" s="3" t="s">
        <v>60</v>
      </c>
      <c r="D5" s="3" t="s">
        <v>4</v>
      </c>
      <c r="E5" s="3">
        <v>2</v>
      </c>
      <c r="F5" s="3"/>
      <c r="G5" s="6"/>
      <c r="M5" s="12">
        <v>4</v>
      </c>
      <c r="N5" s="12" t="s">
        <v>7</v>
      </c>
      <c r="O5" s="12">
        <v>29</v>
      </c>
      <c r="P5" s="12" t="s">
        <v>14</v>
      </c>
      <c r="Q5" s="12">
        <v>27</v>
      </c>
      <c r="R5" s="12">
        <v>2</v>
      </c>
      <c r="S5" s="37">
        <v>93.103448275862064</v>
      </c>
    </row>
    <row r="6" spans="1:19" x14ac:dyDescent="0.3">
      <c r="A6" s="1">
        <v>2</v>
      </c>
      <c r="B6" s="1" t="s">
        <v>26</v>
      </c>
      <c r="C6" s="1" t="s">
        <v>36</v>
      </c>
      <c r="D6" s="1" t="s">
        <v>5</v>
      </c>
      <c r="E6" s="1">
        <v>4</v>
      </c>
      <c r="F6" s="1">
        <v>124</v>
      </c>
      <c r="G6" s="5" t="s">
        <v>13</v>
      </c>
      <c r="M6" s="10">
        <v>5</v>
      </c>
      <c r="N6" s="10" t="s">
        <v>8</v>
      </c>
      <c r="O6" s="10">
        <v>12</v>
      </c>
      <c r="P6" s="10" t="s">
        <v>14</v>
      </c>
      <c r="Q6" s="10">
        <v>11</v>
      </c>
      <c r="R6" s="10">
        <v>1</v>
      </c>
      <c r="S6" s="42">
        <v>91.666666666666671</v>
      </c>
    </row>
    <row r="7" spans="1:19" x14ac:dyDescent="0.3">
      <c r="B7" s="1" t="s">
        <v>64</v>
      </c>
      <c r="C7" s="1" t="s">
        <v>61</v>
      </c>
      <c r="D7" s="1" t="s">
        <v>5</v>
      </c>
      <c r="E7" s="1">
        <v>12</v>
      </c>
      <c r="G7" s="5"/>
      <c r="M7" s="12">
        <v>6</v>
      </c>
      <c r="N7" s="12" t="s">
        <v>10</v>
      </c>
      <c r="O7" s="12">
        <v>49</v>
      </c>
      <c r="P7" s="12" t="s">
        <v>15</v>
      </c>
      <c r="Q7" s="12">
        <v>39</v>
      </c>
      <c r="R7" s="12">
        <v>10</v>
      </c>
      <c r="S7" s="37">
        <v>79.591836734693871</v>
      </c>
    </row>
    <row r="8" spans="1:19" x14ac:dyDescent="0.3">
      <c r="B8" s="1" t="s">
        <v>63</v>
      </c>
      <c r="C8" s="1" t="s">
        <v>62</v>
      </c>
      <c r="D8" s="1" t="s">
        <v>5</v>
      </c>
      <c r="E8" s="1">
        <v>12</v>
      </c>
      <c r="G8" s="5"/>
      <c r="M8" s="10">
        <v>7</v>
      </c>
      <c r="N8" s="10" t="s">
        <v>11</v>
      </c>
      <c r="O8" s="10">
        <v>20</v>
      </c>
      <c r="P8" s="10" t="s">
        <v>16</v>
      </c>
      <c r="Q8" s="10">
        <v>17</v>
      </c>
      <c r="R8" s="10">
        <v>3</v>
      </c>
      <c r="S8" s="42">
        <v>85</v>
      </c>
    </row>
    <row r="9" spans="1:19" x14ac:dyDescent="0.3">
      <c r="B9" s="1" t="s">
        <v>52</v>
      </c>
      <c r="C9" s="1" t="s">
        <v>37</v>
      </c>
      <c r="D9" s="1" t="s">
        <v>5</v>
      </c>
      <c r="E9" s="1">
        <v>10</v>
      </c>
      <c r="G9" s="5"/>
      <c r="M9" s="12">
        <v>8</v>
      </c>
      <c r="N9" s="12" t="s">
        <v>12</v>
      </c>
      <c r="O9" s="12">
        <v>96</v>
      </c>
      <c r="P9" s="12" t="s">
        <v>17</v>
      </c>
      <c r="Q9" s="12">
        <v>55</v>
      </c>
      <c r="R9" s="12">
        <v>41</v>
      </c>
      <c r="S9" s="37">
        <v>57.291666666666664</v>
      </c>
    </row>
    <row r="10" spans="1:19" x14ac:dyDescent="0.3">
      <c r="B10" s="1" t="s">
        <v>53</v>
      </c>
      <c r="C10" s="1" t="s">
        <v>23</v>
      </c>
      <c r="D10" s="1" t="s">
        <v>5</v>
      </c>
      <c r="E10" s="1">
        <v>6</v>
      </c>
      <c r="G10" s="5"/>
      <c r="M10" s="10">
        <v>9</v>
      </c>
      <c r="N10" s="10" t="s">
        <v>9</v>
      </c>
      <c r="O10" s="10">
        <v>20</v>
      </c>
      <c r="P10" s="10" t="s">
        <v>14</v>
      </c>
      <c r="Q10" s="10">
        <v>19</v>
      </c>
      <c r="R10" s="10">
        <v>1</v>
      </c>
      <c r="S10" s="42">
        <v>95</v>
      </c>
    </row>
    <row r="11" spans="1:19" x14ac:dyDescent="0.3">
      <c r="B11" s="1" t="s">
        <v>54</v>
      </c>
      <c r="C11" s="1" t="s">
        <v>38</v>
      </c>
      <c r="D11" s="1" t="s">
        <v>5</v>
      </c>
      <c r="E11" s="1">
        <v>22</v>
      </c>
      <c r="G11" s="5"/>
      <c r="M11" s="12">
        <v>10</v>
      </c>
      <c r="N11" s="12" t="s">
        <v>130</v>
      </c>
      <c r="O11" s="12">
        <v>6</v>
      </c>
      <c r="P11" s="12" t="s">
        <v>15</v>
      </c>
      <c r="Q11" s="12">
        <v>6</v>
      </c>
      <c r="R11" s="12">
        <v>0</v>
      </c>
      <c r="S11" s="37">
        <v>100</v>
      </c>
    </row>
    <row r="12" spans="1:19" x14ac:dyDescent="0.3">
      <c r="B12" s="1" t="s">
        <v>27</v>
      </c>
      <c r="C12" s="1" t="s">
        <v>39</v>
      </c>
      <c r="D12" s="1" t="s">
        <v>5</v>
      </c>
      <c r="E12" s="1">
        <v>8</v>
      </c>
      <c r="G12" s="5"/>
      <c r="M12" s="10">
        <v>11</v>
      </c>
      <c r="N12" s="10" t="s">
        <v>131</v>
      </c>
      <c r="O12" s="10">
        <v>6</v>
      </c>
      <c r="P12" s="10" t="s">
        <v>16</v>
      </c>
      <c r="Q12" s="10">
        <v>6</v>
      </c>
      <c r="R12" s="10">
        <v>0</v>
      </c>
      <c r="S12" s="42">
        <v>100</v>
      </c>
    </row>
    <row r="13" spans="1:19" x14ac:dyDescent="0.3">
      <c r="B13" s="1" t="s">
        <v>28</v>
      </c>
      <c r="C13" s="1" t="s">
        <v>40</v>
      </c>
      <c r="D13" s="1" t="s">
        <v>5</v>
      </c>
      <c r="E13" s="1">
        <v>12</v>
      </c>
      <c r="G13" s="5"/>
      <c r="M13" s="12">
        <v>12</v>
      </c>
      <c r="N13" s="12" t="s">
        <v>132</v>
      </c>
      <c r="O13" s="12">
        <v>6</v>
      </c>
      <c r="P13" s="12" t="s">
        <v>13</v>
      </c>
      <c r="Q13" s="12">
        <v>6</v>
      </c>
      <c r="R13" s="12">
        <v>0</v>
      </c>
      <c r="S13" s="37">
        <v>100</v>
      </c>
    </row>
    <row r="14" spans="1:19" x14ac:dyDescent="0.3">
      <c r="B14" s="1" t="s">
        <v>29</v>
      </c>
      <c r="C14" s="1" t="s">
        <v>41</v>
      </c>
      <c r="D14" s="1" t="s">
        <v>5</v>
      </c>
      <c r="E14" s="1">
        <v>3</v>
      </c>
      <c r="G14" s="5"/>
      <c r="M14" s="10">
        <v>13</v>
      </c>
      <c r="N14" s="10" t="s">
        <v>133</v>
      </c>
      <c r="O14" s="10">
        <v>6</v>
      </c>
      <c r="P14" s="10" t="s">
        <v>14</v>
      </c>
      <c r="Q14" s="10">
        <v>6</v>
      </c>
      <c r="R14" s="10">
        <v>0</v>
      </c>
      <c r="S14" s="42">
        <v>100</v>
      </c>
    </row>
    <row r="15" spans="1:19" x14ac:dyDescent="0.3">
      <c r="B15" s="1" t="s">
        <v>30</v>
      </c>
      <c r="C15" s="1" t="s">
        <v>42</v>
      </c>
      <c r="D15" s="1" t="s">
        <v>5</v>
      </c>
      <c r="E15" s="1">
        <v>3</v>
      </c>
      <c r="G15" s="5"/>
      <c r="M15" s="31"/>
      <c r="N15" s="31" t="s">
        <v>141</v>
      </c>
      <c r="O15" s="31">
        <f>SUM(O2:O14)</f>
        <v>426</v>
      </c>
      <c r="P15" s="31"/>
      <c r="Q15" s="31">
        <f>SUM(Q2:Q14)</f>
        <v>354</v>
      </c>
      <c r="R15" s="31">
        <f>SUM(R2:R14)</f>
        <v>72</v>
      </c>
      <c r="S15" s="43">
        <v>83.098591549295776</v>
      </c>
    </row>
    <row r="16" spans="1:19" x14ac:dyDescent="0.3">
      <c r="B16" s="1" t="s">
        <v>55</v>
      </c>
      <c r="C16" s="1" t="s">
        <v>43</v>
      </c>
      <c r="D16" s="1" t="s">
        <v>5</v>
      </c>
      <c r="E16" s="1">
        <v>4</v>
      </c>
      <c r="G16" s="5"/>
    </row>
    <row r="17" spans="1:7" x14ac:dyDescent="0.3">
      <c r="B17" s="1" t="s">
        <v>31</v>
      </c>
      <c r="C17" s="1" t="s">
        <v>44</v>
      </c>
      <c r="D17" s="1" t="s">
        <v>5</v>
      </c>
      <c r="E17" s="1">
        <v>6</v>
      </c>
      <c r="G17" s="5"/>
    </row>
    <row r="18" spans="1:7" x14ac:dyDescent="0.3">
      <c r="B18" s="1" t="s">
        <v>32</v>
      </c>
      <c r="C18" s="1" t="s">
        <v>45</v>
      </c>
      <c r="D18" s="1" t="s">
        <v>5</v>
      </c>
      <c r="E18" s="1">
        <v>3</v>
      </c>
      <c r="G18" s="5"/>
    </row>
    <row r="19" spans="1:7" x14ac:dyDescent="0.3">
      <c r="B19" s="1" t="s">
        <v>33</v>
      </c>
      <c r="C19" s="1" t="s">
        <v>46</v>
      </c>
      <c r="D19" s="1" t="s">
        <v>5</v>
      </c>
      <c r="E19" s="1">
        <v>5</v>
      </c>
      <c r="G19" s="5"/>
    </row>
    <row r="20" spans="1:7" x14ac:dyDescent="0.3">
      <c r="B20" s="1" t="s">
        <v>56</v>
      </c>
      <c r="C20" s="1" t="s">
        <v>47</v>
      </c>
      <c r="D20" s="1" t="s">
        <v>5</v>
      </c>
      <c r="E20" s="1">
        <v>10</v>
      </c>
      <c r="G20" s="5"/>
    </row>
    <row r="21" spans="1:7" x14ac:dyDescent="0.3">
      <c r="A21" s="3"/>
      <c r="B21" s="3" t="s">
        <v>113</v>
      </c>
      <c r="C21" s="3" t="s">
        <v>114</v>
      </c>
      <c r="D21" s="3" t="s">
        <v>5</v>
      </c>
      <c r="E21" s="3">
        <v>4</v>
      </c>
      <c r="F21" s="3"/>
      <c r="G21" s="6"/>
    </row>
    <row r="22" spans="1:7" x14ac:dyDescent="0.3">
      <c r="A22" s="4">
        <v>3</v>
      </c>
      <c r="B22" s="4" t="s">
        <v>6</v>
      </c>
      <c r="C22" s="4" t="s">
        <v>22</v>
      </c>
      <c r="D22" s="4" t="s">
        <v>6</v>
      </c>
      <c r="E22" s="4">
        <v>25</v>
      </c>
      <c r="F22" s="4">
        <v>25</v>
      </c>
      <c r="G22" s="7" t="s">
        <v>14</v>
      </c>
    </row>
    <row r="23" spans="1:7" x14ac:dyDescent="0.3">
      <c r="A23" s="4">
        <v>4</v>
      </c>
      <c r="B23" s="4" t="s">
        <v>7</v>
      </c>
      <c r="C23" s="4" t="s">
        <v>23</v>
      </c>
      <c r="D23" s="4" t="s">
        <v>7</v>
      </c>
      <c r="E23" s="4">
        <v>34</v>
      </c>
      <c r="F23" s="4">
        <v>34</v>
      </c>
      <c r="G23" s="7" t="s">
        <v>14</v>
      </c>
    </row>
    <row r="24" spans="1:7" x14ac:dyDescent="0.3">
      <c r="A24" s="4">
        <v>5</v>
      </c>
      <c r="B24" s="4" t="s">
        <v>8</v>
      </c>
      <c r="C24" s="4" t="s">
        <v>24</v>
      </c>
      <c r="D24" s="4" t="s">
        <v>8</v>
      </c>
      <c r="E24" s="4">
        <v>15</v>
      </c>
      <c r="F24" s="4">
        <v>15</v>
      </c>
      <c r="G24" s="7" t="s">
        <v>14</v>
      </c>
    </row>
    <row r="25" spans="1:7" x14ac:dyDescent="0.3">
      <c r="A25" s="4">
        <v>6</v>
      </c>
      <c r="B25" s="4" t="s">
        <v>9</v>
      </c>
      <c r="C25" s="4" t="s">
        <v>57</v>
      </c>
      <c r="D25" s="4" t="s">
        <v>9</v>
      </c>
      <c r="E25" s="4">
        <v>20</v>
      </c>
      <c r="F25" s="4">
        <v>20</v>
      </c>
      <c r="G25" s="7" t="s">
        <v>14</v>
      </c>
    </row>
    <row r="26" spans="1:7" x14ac:dyDescent="0.3">
      <c r="A26" s="4">
        <v>7</v>
      </c>
      <c r="B26" s="4" t="s">
        <v>58</v>
      </c>
      <c r="C26" s="4" t="s">
        <v>25</v>
      </c>
      <c r="D26" s="4" t="s">
        <v>10</v>
      </c>
      <c r="E26" s="4">
        <v>49</v>
      </c>
      <c r="F26" s="4">
        <v>49</v>
      </c>
      <c r="G26" s="7" t="s">
        <v>15</v>
      </c>
    </row>
    <row r="27" spans="1:7" x14ac:dyDescent="0.3">
      <c r="A27" s="4">
        <v>8</v>
      </c>
      <c r="B27" s="4" t="s">
        <v>11</v>
      </c>
      <c r="C27" s="4" t="s">
        <v>11</v>
      </c>
      <c r="D27" s="4" t="s">
        <v>11</v>
      </c>
      <c r="E27" s="4">
        <v>20</v>
      </c>
      <c r="F27" s="4">
        <v>20</v>
      </c>
      <c r="G27" s="7" t="s">
        <v>16</v>
      </c>
    </row>
    <row r="28" spans="1:7" x14ac:dyDescent="0.3">
      <c r="A28" s="4">
        <v>9</v>
      </c>
      <c r="B28" s="4" t="s">
        <v>20</v>
      </c>
      <c r="C28" s="4" t="s">
        <v>49</v>
      </c>
      <c r="D28" s="4" t="s">
        <v>12</v>
      </c>
      <c r="E28" s="4">
        <v>5</v>
      </c>
      <c r="F28" s="4">
        <v>96</v>
      </c>
      <c r="G28" s="7" t="s">
        <v>17</v>
      </c>
    </row>
    <row r="29" spans="1:7" x14ac:dyDescent="0.3">
      <c r="B29" s="1" t="s">
        <v>59</v>
      </c>
      <c r="C29" s="1" t="s">
        <v>50</v>
      </c>
      <c r="D29" s="1" t="s">
        <v>12</v>
      </c>
      <c r="E29" s="1">
        <v>2</v>
      </c>
      <c r="G29" s="5"/>
    </row>
    <row r="30" spans="1:7" x14ac:dyDescent="0.3">
      <c r="B30" s="1" t="s">
        <v>64</v>
      </c>
      <c r="C30" s="1" t="s">
        <v>66</v>
      </c>
      <c r="D30" s="1" t="s">
        <v>12</v>
      </c>
      <c r="E30" s="1">
        <v>3</v>
      </c>
      <c r="G30" s="5"/>
    </row>
    <row r="31" spans="1:7" x14ac:dyDescent="0.3">
      <c r="B31" s="1" t="s">
        <v>28</v>
      </c>
      <c r="C31" s="1" t="s">
        <v>65</v>
      </c>
      <c r="D31" s="1" t="s">
        <v>12</v>
      </c>
      <c r="E31" s="1">
        <v>14</v>
      </c>
      <c r="G31" s="5"/>
    </row>
    <row r="32" spans="1:7" x14ac:dyDescent="0.3">
      <c r="B32" s="1" t="s">
        <v>68</v>
      </c>
      <c r="C32" s="1" t="s">
        <v>67</v>
      </c>
      <c r="D32" s="1" t="s">
        <v>12</v>
      </c>
      <c r="E32" s="1">
        <v>2</v>
      </c>
      <c r="G32" s="5"/>
    </row>
    <row r="33" spans="2:7" x14ac:dyDescent="0.3">
      <c r="B33" s="8" t="s">
        <v>116</v>
      </c>
      <c r="C33" s="1" t="s">
        <v>69</v>
      </c>
      <c r="D33" s="1" t="s">
        <v>12</v>
      </c>
      <c r="E33" s="1">
        <v>9</v>
      </c>
      <c r="G33" s="5"/>
    </row>
    <row r="34" spans="2:7" x14ac:dyDescent="0.3">
      <c r="B34" s="8" t="s">
        <v>115</v>
      </c>
      <c r="C34" s="1" t="s">
        <v>70</v>
      </c>
      <c r="D34" s="1" t="s">
        <v>12</v>
      </c>
      <c r="E34" s="1">
        <v>3</v>
      </c>
      <c r="G34" s="5"/>
    </row>
    <row r="35" spans="2:7" x14ac:dyDescent="0.3">
      <c r="B35" s="1" t="s">
        <v>71</v>
      </c>
      <c r="C35" s="1" t="s">
        <v>72</v>
      </c>
      <c r="D35" s="1" t="s">
        <v>12</v>
      </c>
      <c r="E35" s="1">
        <v>5</v>
      </c>
      <c r="G35" s="5"/>
    </row>
    <row r="36" spans="2:7" x14ac:dyDescent="0.3">
      <c r="B36" s="1" t="s">
        <v>73</v>
      </c>
      <c r="C36" s="1" t="s">
        <v>74</v>
      </c>
      <c r="D36" s="1" t="s">
        <v>12</v>
      </c>
      <c r="E36" s="1">
        <v>3</v>
      </c>
      <c r="G36" s="5"/>
    </row>
    <row r="37" spans="2:7" x14ac:dyDescent="0.3">
      <c r="B37" s="1" t="s">
        <v>75</v>
      </c>
      <c r="C37" s="1" t="s">
        <v>76</v>
      </c>
      <c r="D37" s="1" t="s">
        <v>12</v>
      </c>
      <c r="E37" s="1">
        <v>1</v>
      </c>
      <c r="G37" s="5"/>
    </row>
    <row r="38" spans="2:7" x14ac:dyDescent="0.3">
      <c r="B38" s="1" t="s">
        <v>77</v>
      </c>
      <c r="C38" s="1" t="s">
        <v>78</v>
      </c>
      <c r="D38" s="1" t="s">
        <v>12</v>
      </c>
      <c r="E38" s="1">
        <v>5</v>
      </c>
      <c r="G38" s="5"/>
    </row>
    <row r="39" spans="2:7" x14ac:dyDescent="0.3">
      <c r="B39" s="1" t="s">
        <v>79</v>
      </c>
      <c r="C39" s="1" t="s">
        <v>80</v>
      </c>
      <c r="D39" s="1" t="s">
        <v>12</v>
      </c>
      <c r="E39" s="1">
        <v>5</v>
      </c>
      <c r="G39" s="5"/>
    </row>
    <row r="40" spans="2:7" x14ac:dyDescent="0.3">
      <c r="B40" s="1" t="s">
        <v>81</v>
      </c>
      <c r="C40" s="1" t="s">
        <v>82</v>
      </c>
      <c r="D40" s="1" t="s">
        <v>12</v>
      </c>
      <c r="E40" s="1">
        <v>1</v>
      </c>
      <c r="G40" s="5"/>
    </row>
    <row r="41" spans="2:7" x14ac:dyDescent="0.3">
      <c r="B41" s="1" t="s">
        <v>83</v>
      </c>
      <c r="C41" s="1" t="s">
        <v>84</v>
      </c>
      <c r="D41" s="1" t="s">
        <v>12</v>
      </c>
      <c r="E41" s="1">
        <v>2</v>
      </c>
      <c r="G41" s="5"/>
    </row>
    <row r="42" spans="2:7" x14ac:dyDescent="0.3">
      <c r="B42" s="1" t="s">
        <v>85</v>
      </c>
      <c r="C42" s="1" t="s">
        <v>86</v>
      </c>
      <c r="D42" s="1" t="s">
        <v>12</v>
      </c>
      <c r="E42" s="1">
        <v>1</v>
      </c>
      <c r="G42" s="5"/>
    </row>
    <row r="43" spans="2:7" x14ac:dyDescent="0.3">
      <c r="B43" s="1" t="s">
        <v>87</v>
      </c>
      <c r="C43" s="1" t="s">
        <v>88</v>
      </c>
      <c r="D43" s="1" t="s">
        <v>12</v>
      </c>
      <c r="E43" s="1">
        <v>3</v>
      </c>
      <c r="G43" s="5"/>
    </row>
    <row r="44" spans="2:7" x14ac:dyDescent="0.3">
      <c r="B44" s="1" t="s">
        <v>89</v>
      </c>
      <c r="C44" s="1" t="s">
        <v>90</v>
      </c>
      <c r="D44" s="1" t="s">
        <v>12</v>
      </c>
      <c r="E44" s="1">
        <v>1</v>
      </c>
      <c r="G44" s="5"/>
    </row>
    <row r="45" spans="2:7" x14ac:dyDescent="0.3">
      <c r="B45" s="1" t="s">
        <v>91</v>
      </c>
      <c r="C45" s="1" t="s">
        <v>92</v>
      </c>
      <c r="D45" s="1" t="s">
        <v>12</v>
      </c>
      <c r="E45" s="1">
        <v>3</v>
      </c>
      <c r="G45" s="5"/>
    </row>
    <row r="46" spans="2:7" x14ac:dyDescent="0.3">
      <c r="B46" s="1" t="s">
        <v>93</v>
      </c>
      <c r="C46" s="1" t="s">
        <v>94</v>
      </c>
      <c r="D46" s="1" t="s">
        <v>12</v>
      </c>
      <c r="E46" s="1">
        <v>4</v>
      </c>
      <c r="G46" s="5"/>
    </row>
    <row r="47" spans="2:7" x14ac:dyDescent="0.3">
      <c r="B47" s="1" t="s">
        <v>95</v>
      </c>
      <c r="C47" s="1" t="s">
        <v>96</v>
      </c>
      <c r="D47" s="1" t="s">
        <v>12</v>
      </c>
      <c r="E47" s="1">
        <v>2</v>
      </c>
      <c r="G47" s="5"/>
    </row>
    <row r="48" spans="2:7" x14ac:dyDescent="0.3">
      <c r="B48" s="1" t="s">
        <v>98</v>
      </c>
      <c r="C48" s="1" t="s">
        <v>97</v>
      </c>
      <c r="D48" s="1" t="s">
        <v>12</v>
      </c>
      <c r="E48" s="1">
        <v>3</v>
      </c>
      <c r="G48" s="5"/>
    </row>
    <row r="49" spans="2:7" x14ac:dyDescent="0.3">
      <c r="B49" s="1" t="s">
        <v>99</v>
      </c>
      <c r="C49" s="1" t="s">
        <v>100</v>
      </c>
      <c r="D49" s="1" t="s">
        <v>12</v>
      </c>
      <c r="E49" s="1">
        <v>3</v>
      </c>
      <c r="G49" s="5"/>
    </row>
    <row r="50" spans="2:7" x14ac:dyDescent="0.3">
      <c r="B50" s="1" t="s">
        <v>101</v>
      </c>
      <c r="C50" s="1" t="s">
        <v>102</v>
      </c>
      <c r="D50" s="1" t="s">
        <v>12</v>
      </c>
      <c r="E50" s="1">
        <v>1</v>
      </c>
      <c r="G50" s="5"/>
    </row>
    <row r="51" spans="2:7" x14ac:dyDescent="0.3">
      <c r="B51" s="1" t="s">
        <v>103</v>
      </c>
      <c r="C51" s="1" t="s">
        <v>104</v>
      </c>
      <c r="D51" s="1" t="s">
        <v>12</v>
      </c>
      <c r="E51" s="1">
        <v>6</v>
      </c>
      <c r="G51" s="5"/>
    </row>
    <row r="52" spans="2:7" x14ac:dyDescent="0.3">
      <c r="B52" s="1" t="s">
        <v>105</v>
      </c>
      <c r="C52" s="1" t="s">
        <v>106</v>
      </c>
      <c r="D52" s="1" t="s">
        <v>12</v>
      </c>
      <c r="E52" s="1">
        <v>4</v>
      </c>
      <c r="G52" s="5"/>
    </row>
    <row r="53" spans="2:7" x14ac:dyDescent="0.3">
      <c r="B53" s="1" t="s">
        <v>108</v>
      </c>
      <c r="C53" s="1" t="s">
        <v>107</v>
      </c>
      <c r="D53" s="1" t="s">
        <v>12</v>
      </c>
      <c r="E53" s="1">
        <v>2</v>
      </c>
      <c r="G53" s="5"/>
    </row>
    <row r="54" spans="2:7" x14ac:dyDescent="0.3">
      <c r="B54" s="1" t="s">
        <v>109</v>
      </c>
      <c r="C54" s="1" t="s">
        <v>110</v>
      </c>
      <c r="D54" s="1" t="s">
        <v>12</v>
      </c>
      <c r="E54" s="1">
        <v>2</v>
      </c>
      <c r="G54" s="5"/>
    </row>
    <row r="55" spans="2:7" x14ac:dyDescent="0.3">
      <c r="B55" s="1" t="s">
        <v>112</v>
      </c>
      <c r="C55" s="1" t="s">
        <v>111</v>
      </c>
      <c r="D55" s="1" t="s">
        <v>12</v>
      </c>
      <c r="E55" s="1">
        <v>1</v>
      </c>
      <c r="G5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Ghada El-shafei</dc:creator>
  <cp:lastModifiedBy>Microsoft Office User</cp:lastModifiedBy>
  <dcterms:created xsi:type="dcterms:W3CDTF">2025-10-31T13:12:36Z</dcterms:created>
  <dcterms:modified xsi:type="dcterms:W3CDTF">2025-11-14T11:15:49Z</dcterms:modified>
</cp:coreProperties>
</file>